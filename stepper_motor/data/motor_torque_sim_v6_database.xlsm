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ode\Nextcloud-eddieengr\"/>
    </mc:Choice>
  </mc:AlternateContent>
  <xr:revisionPtr revIDLastSave="0" documentId="13_ncr:1_{3CCC8767-303F-4D76-A82D-C0107144CD77}" xr6:coauthVersionLast="47" xr6:coauthVersionMax="47" xr10:uidLastSave="{00000000-0000-0000-0000-000000000000}"/>
  <bookViews>
    <workbookView xWindow="-120" yWindow="-120" windowWidth="29040" windowHeight="17640" firstSheet="1" activeTab="1" xr2:uid="{4E23AFD2-F618-43A8-B47B-65FFC6E642DF}"/>
  </bookViews>
  <sheets>
    <sheet name="Power (2)" sheetId="33" state="hidden" r:id="rId1"/>
    <sheet name="UI" sheetId="30" r:id="rId2"/>
    <sheet name="Torque" sheetId="31" r:id="rId3"/>
    <sheet name="Power" sheetId="32" state="hidden" r:id="rId4"/>
    <sheet name="Database" sheetId="29" r:id="rId5"/>
    <sheet name="Chart1" sheetId="4" state="hidden" r:id="rId6"/>
  </sheets>
  <functionGroups builtInGroupCount="19"/>
  <definedNames>
    <definedName name="_xlnm._FilterDatabase" localSheetId="4" hidden="1">Database!$A$2:$M$28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29" l="1"/>
  <c r="A40" i="29"/>
  <c r="A39" i="29"/>
  <c r="A38" i="29"/>
  <c r="A37" i="29"/>
  <c r="A36" i="29"/>
  <c r="A35" i="29"/>
  <c r="A34" i="29"/>
  <c r="H33" i="29"/>
  <c r="A33" i="29"/>
  <c r="A13" i="29"/>
  <c r="H16" i="29"/>
  <c r="A16" i="29"/>
  <c r="A8" i="29"/>
  <c r="A4" i="29"/>
  <c r="A6" i="29"/>
  <c r="P5" i="30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P4" i="30"/>
  <c r="A3" i="29"/>
  <c r="A24" i="29"/>
  <c r="A5" i="29"/>
  <c r="A32" i="29"/>
  <c r="A31" i="29"/>
  <c r="A29" i="29"/>
  <c r="A28" i="29"/>
  <c r="A10" i="29"/>
  <c r="A11" i="29"/>
  <c r="A14" i="29"/>
  <c r="A7" i="29"/>
  <c r="A15" i="29"/>
  <c r="A12" i="29"/>
  <c r="A23" i="29"/>
  <c r="A20" i="29"/>
  <c r="A9" i="29"/>
  <c r="A22" i="29"/>
  <c r="A26" i="29"/>
  <c r="A27" i="29"/>
  <c r="A18" i="29"/>
  <c r="A30" i="29"/>
  <c r="A17" i="29"/>
  <c r="A21" i="29"/>
  <c r="A25" i="29"/>
  <c r="A19" i="29"/>
  <c r="F2" i="30"/>
  <c r="G23" i="30" l="1"/>
  <c r="M23" i="30" s="1"/>
  <c r="F23" i="30"/>
  <c r="E23" i="30"/>
  <c r="D23" i="30"/>
  <c r="C11" i="30"/>
  <c r="E6" i="30"/>
  <c r="AJ2" i="30"/>
  <c r="AJ1" i="30"/>
  <c r="AG2" i="30"/>
  <c r="AZ2" i="30" s="1"/>
  <c r="AF2" i="30"/>
  <c r="AY2" i="30" s="1"/>
  <c r="AE2" i="30"/>
  <c r="AX2" i="30" s="1"/>
  <c r="Q3" i="30"/>
  <c r="AJ3" i="30" s="1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Q4" i="30"/>
  <c r="AJ4" i="30" s="1"/>
  <c r="AH4" i="30" l="1"/>
  <c r="E11" i="30"/>
  <c r="K24" i="30"/>
  <c r="N24" i="30" s="1"/>
  <c r="AH26" i="30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23" i="30"/>
  <c r="G33" i="30"/>
  <c r="M33" i="30" s="1"/>
  <c r="G32" i="30"/>
  <c r="M32" i="30" s="1"/>
  <c r="G27" i="30"/>
  <c r="M27" i="30" s="1"/>
  <c r="I23" i="30"/>
  <c r="F33" i="30"/>
  <c r="F32" i="30"/>
  <c r="F31" i="30"/>
  <c r="F30" i="30"/>
  <c r="F29" i="30"/>
  <c r="F28" i="30"/>
  <c r="F27" i="30"/>
  <c r="F26" i="30"/>
  <c r="F25" i="30"/>
  <c r="F24" i="30"/>
  <c r="G28" i="30"/>
  <c r="M28" i="30" s="1"/>
  <c r="J23" i="30"/>
  <c r="E33" i="30"/>
  <c r="E32" i="30"/>
  <c r="E31" i="30"/>
  <c r="E30" i="30"/>
  <c r="E29" i="30"/>
  <c r="E28" i="30"/>
  <c r="E27" i="30"/>
  <c r="E26" i="30"/>
  <c r="E25" i="30"/>
  <c r="E24" i="30"/>
  <c r="G31" i="30"/>
  <c r="M31" i="30" s="1"/>
  <c r="G26" i="30"/>
  <c r="M26" i="30" s="1"/>
  <c r="K23" i="30"/>
  <c r="N23" i="30" s="1"/>
  <c r="D33" i="30"/>
  <c r="D32" i="30"/>
  <c r="D31" i="30"/>
  <c r="D30" i="30"/>
  <c r="D29" i="30"/>
  <c r="D28" i="30"/>
  <c r="D27" i="30"/>
  <c r="D26" i="30"/>
  <c r="D25" i="30"/>
  <c r="D24" i="30"/>
  <c r="G29" i="30"/>
  <c r="M29" i="30" s="1"/>
  <c r="G24" i="30"/>
  <c r="M24" i="30" s="1"/>
  <c r="K33" i="30"/>
  <c r="N33" i="30" s="1"/>
  <c r="K32" i="30"/>
  <c r="N32" i="30" s="1"/>
  <c r="K31" i="30"/>
  <c r="N31" i="30" s="1"/>
  <c r="K30" i="30"/>
  <c r="N30" i="30" s="1"/>
  <c r="K29" i="30"/>
  <c r="N29" i="30" s="1"/>
  <c r="K28" i="30"/>
  <c r="N28" i="30" s="1"/>
  <c r="K27" i="30"/>
  <c r="N27" i="30" s="1"/>
  <c r="K26" i="30"/>
  <c r="N26" i="30" s="1"/>
  <c r="K25" i="30"/>
  <c r="N25" i="30" s="1"/>
  <c r="D34" i="30"/>
  <c r="K35" i="30"/>
  <c r="N35" i="30" s="1"/>
  <c r="J36" i="30"/>
  <c r="J37" i="30"/>
  <c r="J38" i="30"/>
  <c r="E34" i="30"/>
  <c r="D35" i="30"/>
  <c r="K36" i="30"/>
  <c r="N36" i="30" s="1"/>
  <c r="K37" i="30"/>
  <c r="N37" i="30" s="1"/>
  <c r="K38" i="30"/>
  <c r="N38" i="30" s="1"/>
  <c r="I38" i="30"/>
  <c r="F34" i="30"/>
  <c r="E35" i="30"/>
  <c r="D36" i="30"/>
  <c r="D37" i="30"/>
  <c r="D38" i="30"/>
  <c r="I36" i="30"/>
  <c r="G34" i="30"/>
  <c r="M34" i="30" s="1"/>
  <c r="F35" i="30"/>
  <c r="E36" i="30"/>
  <c r="E37" i="30"/>
  <c r="E38" i="30"/>
  <c r="I37" i="30"/>
  <c r="H34" i="30"/>
  <c r="G35" i="30"/>
  <c r="M35" i="30" s="1"/>
  <c r="F36" i="30"/>
  <c r="F37" i="30"/>
  <c r="F38" i="30"/>
  <c r="I34" i="30"/>
  <c r="H35" i="30"/>
  <c r="G36" i="30"/>
  <c r="M36" i="30" s="1"/>
  <c r="G37" i="30"/>
  <c r="M37" i="30" s="1"/>
  <c r="G38" i="30"/>
  <c r="M38" i="30" s="1"/>
  <c r="K34" i="30"/>
  <c r="N34" i="30" s="1"/>
  <c r="J34" i="30"/>
  <c r="I35" i="30"/>
  <c r="H36" i="30"/>
  <c r="H37" i="30"/>
  <c r="H38" i="30"/>
  <c r="J35" i="30"/>
  <c r="J33" i="30"/>
  <c r="J32" i="30"/>
  <c r="J31" i="30"/>
  <c r="J30" i="30"/>
  <c r="J29" i="30"/>
  <c r="J28" i="30"/>
  <c r="J27" i="30"/>
  <c r="J26" i="30"/>
  <c r="J25" i="30"/>
  <c r="J24" i="30"/>
  <c r="G30" i="30"/>
  <c r="M30" i="30" s="1"/>
  <c r="G25" i="30"/>
  <c r="M25" i="30" s="1"/>
  <c r="I33" i="30"/>
  <c r="I31" i="30"/>
  <c r="I29" i="30"/>
  <c r="I28" i="30"/>
  <c r="I27" i="30"/>
  <c r="I26" i="30"/>
  <c r="I25" i="30"/>
  <c r="I24" i="30"/>
  <c r="I32" i="30"/>
  <c r="I30" i="30"/>
  <c r="H33" i="30"/>
  <c r="H32" i="30"/>
  <c r="H31" i="30"/>
  <c r="H30" i="30"/>
  <c r="H29" i="30"/>
  <c r="H28" i="30"/>
  <c r="H27" i="30"/>
  <c r="H26" i="30"/>
  <c r="H25" i="30"/>
  <c r="H24" i="30"/>
  <c r="AT4" i="30"/>
  <c r="AY5" i="30"/>
  <c r="AS3" i="30"/>
  <c r="AX5" i="30"/>
  <c r="W3" i="30"/>
  <c r="AS4" i="30"/>
  <c r="AT3" i="30"/>
  <c r="AB3" i="30"/>
  <c r="AX3" i="30"/>
  <c r="AY4" i="30"/>
  <c r="AX4" i="30"/>
  <c r="AZ4" i="30"/>
  <c r="AV4" i="30"/>
  <c r="AR5" i="30"/>
  <c r="AQ4" i="30"/>
  <c r="AK3" i="30"/>
  <c r="AR3" i="30"/>
  <c r="AW4" i="30"/>
  <c r="AZ5" i="30"/>
  <c r="AN5" i="30"/>
  <c r="AL3" i="30"/>
  <c r="AU3" i="30"/>
  <c r="AR4" i="30"/>
  <c r="AQ5" i="30"/>
  <c r="AN3" i="30"/>
  <c r="AO4" i="30"/>
  <c r="AC3" i="30"/>
  <c r="S5" i="30"/>
  <c r="AW5" i="30"/>
  <c r="AE3" i="30"/>
  <c r="AP4" i="30"/>
  <c r="AQ3" i="30"/>
  <c r="AT5" i="30"/>
  <c r="AY3" i="30"/>
  <c r="AF3" i="30"/>
  <c r="AA3" i="30"/>
  <c r="Z3" i="30"/>
  <c r="AG3" i="30"/>
  <c r="AZ3" i="30"/>
  <c r="AS5" i="30"/>
  <c r="AW3" i="30"/>
  <c r="V3" i="30"/>
  <c r="AM4" i="30"/>
  <c r="Y3" i="30"/>
  <c r="AN4" i="30"/>
  <c r="T3" i="30"/>
  <c r="AV3" i="30"/>
  <c r="AP3" i="30"/>
  <c r="AD3" i="30"/>
  <c r="AV5" i="30"/>
  <c r="AU4" i="30"/>
  <c r="X3" i="30"/>
  <c r="AK5" i="30"/>
  <c r="AO5" i="30"/>
  <c r="AM5" i="30"/>
  <c r="R3" i="30"/>
  <c r="AP5" i="30"/>
  <c r="AM3" i="30"/>
  <c r="AK4" i="30"/>
  <c r="U3" i="30"/>
  <c r="AL5" i="30"/>
  <c r="AO3" i="30"/>
  <c r="AL4" i="30"/>
  <c r="AU5" i="30"/>
  <c r="Q5" i="30" l="1"/>
  <c r="AJ5" i="30" s="1"/>
  <c r="Y6" i="30"/>
  <c r="X6" i="30"/>
  <c r="V6" i="30"/>
  <c r="AU6" i="30"/>
  <c r="R6" i="30"/>
  <c r="T5" i="30"/>
  <c r="AG6" i="30"/>
  <c r="R5" i="30"/>
  <c r="AZ6" i="30"/>
  <c r="AA5" i="30"/>
  <c r="X5" i="30"/>
  <c r="AX6" i="30"/>
  <c r="AF5" i="30"/>
  <c r="V5" i="30"/>
  <c r="Z4" i="30"/>
  <c r="AR6" i="30"/>
  <c r="AL6" i="30"/>
  <c r="U5" i="30"/>
  <c r="Y5" i="30"/>
  <c r="AE5" i="30"/>
  <c r="U6" i="30"/>
  <c r="S6" i="30"/>
  <c r="AO6" i="30"/>
  <c r="U4" i="30"/>
  <c r="AC6" i="30"/>
  <c r="Z6" i="30"/>
  <c r="AT6" i="30"/>
  <c r="T4" i="30"/>
  <c r="X4" i="30"/>
  <c r="S4" i="30"/>
  <c r="AD6" i="30"/>
  <c r="AE6" i="30"/>
  <c r="Y4" i="30"/>
  <c r="AG4" i="30"/>
  <c r="AY6" i="30"/>
  <c r="AE4" i="30"/>
  <c r="AC4" i="30"/>
  <c r="AC5" i="30"/>
  <c r="AA6" i="30"/>
  <c r="AB4" i="30"/>
  <c r="AB5" i="30"/>
  <c r="AW6" i="30"/>
  <c r="S3" i="30"/>
  <c r="AD5" i="30"/>
  <c r="V4" i="30"/>
  <c r="AK6" i="30"/>
  <c r="AA4" i="30"/>
  <c r="AD4" i="30"/>
  <c r="AF4" i="30"/>
  <c r="AS6" i="30"/>
  <c r="T6" i="30"/>
  <c r="W6" i="30"/>
  <c r="Z5" i="30"/>
  <c r="W5" i="30"/>
  <c r="AB6" i="30"/>
  <c r="W4" i="30"/>
  <c r="R4" i="30"/>
  <c r="AG5" i="30"/>
  <c r="AN6" i="30"/>
  <c r="AM6" i="30"/>
  <c r="AV6" i="30"/>
  <c r="AP6" i="30"/>
  <c r="AQ6" i="30"/>
  <c r="AF6" i="30"/>
  <c r="Q6" i="30" l="1"/>
  <c r="AJ6" i="30" s="1"/>
  <c r="S7" i="30"/>
  <c r="AN7" i="30"/>
  <c r="AF7" i="30"/>
  <c r="AX7" i="30"/>
  <c r="X7" i="30"/>
  <c r="V7" i="30"/>
  <c r="Y7" i="30"/>
  <c r="AM7" i="30"/>
  <c r="AQ7" i="30"/>
  <c r="AA7" i="30"/>
  <c r="AC7" i="30"/>
  <c r="AV7" i="30"/>
  <c r="AL7" i="30"/>
  <c r="AB7" i="30"/>
  <c r="AD7" i="30"/>
  <c r="AT7" i="30"/>
  <c r="AR7" i="30"/>
  <c r="AP7" i="30"/>
  <c r="AZ7" i="30"/>
  <c r="U7" i="30"/>
  <c r="AS7" i="30"/>
  <c r="AW7" i="30"/>
  <c r="AY7" i="30"/>
  <c r="AE7" i="30"/>
  <c r="AK7" i="30"/>
  <c r="T7" i="30"/>
  <c r="AO7" i="30"/>
  <c r="AG7" i="30"/>
  <c r="Z7" i="30"/>
  <c r="W7" i="30"/>
  <c r="R7" i="30"/>
  <c r="AU7" i="30"/>
  <c r="Q7" i="30" l="1"/>
  <c r="AJ7" i="30" s="1"/>
  <c r="AP8" i="30"/>
  <c r="AM8" i="30"/>
  <c r="Y8" i="30"/>
  <c r="AE8" i="30"/>
  <c r="AZ8" i="30"/>
  <c r="AQ8" i="30"/>
  <c r="R8" i="30"/>
  <c r="AT8" i="30"/>
  <c r="AR8" i="30"/>
  <c r="AX8" i="30"/>
  <c r="U8" i="30"/>
  <c r="AA8" i="30"/>
  <c r="AS8" i="30"/>
  <c r="AB8" i="30"/>
  <c r="T8" i="30"/>
  <c r="AO8" i="30"/>
  <c r="X8" i="30"/>
  <c r="Z8" i="30"/>
  <c r="AN8" i="30"/>
  <c r="S8" i="30"/>
  <c r="AG8" i="30"/>
  <c r="AU8" i="30"/>
  <c r="AW8" i="30"/>
  <c r="AC8" i="30"/>
  <c r="AY8" i="30"/>
  <c r="AD8" i="30"/>
  <c r="AK8" i="30"/>
  <c r="AV8" i="30"/>
  <c r="AL8" i="30"/>
  <c r="V8" i="30"/>
  <c r="W8" i="30"/>
  <c r="AF8" i="30"/>
  <c r="Q8" i="30" l="1"/>
  <c r="AJ8" i="30" s="1"/>
  <c r="AS9" i="30"/>
  <c r="AO9" i="30"/>
  <c r="AR9" i="30"/>
  <c r="S9" i="30"/>
  <c r="R9" i="30"/>
  <c r="AD9" i="30"/>
  <c r="AX9" i="30"/>
  <c r="AU9" i="30"/>
  <c r="AW9" i="30"/>
  <c r="Z9" i="30"/>
  <c r="V9" i="30"/>
  <c r="AT9" i="30"/>
  <c r="W9" i="30"/>
  <c r="AP9" i="30"/>
  <c r="AK9" i="30"/>
  <c r="AA9" i="30"/>
  <c r="AM9" i="30"/>
  <c r="AG9" i="30"/>
  <c r="T9" i="30"/>
  <c r="AN9" i="30"/>
  <c r="AC9" i="30"/>
  <c r="AE9" i="30"/>
  <c r="X9" i="30"/>
  <c r="U9" i="30"/>
  <c r="Y9" i="30"/>
  <c r="AQ9" i="30"/>
  <c r="AV9" i="30"/>
  <c r="AZ9" i="30"/>
  <c r="AB9" i="30"/>
  <c r="AY9" i="30"/>
  <c r="AF9" i="30"/>
  <c r="AL9" i="30"/>
  <c r="Q9" i="30" l="1"/>
  <c r="AJ9" i="30" s="1"/>
  <c r="AS10" i="30"/>
  <c r="AX10" i="30"/>
  <c r="AW10" i="30"/>
  <c r="T10" i="30"/>
  <c r="AF10" i="30"/>
  <c r="AY10" i="30"/>
  <c r="AB10" i="30"/>
  <c r="AG10" i="30"/>
  <c r="AV10" i="30"/>
  <c r="S10" i="30"/>
  <c r="R10" i="30"/>
  <c r="AQ10" i="30"/>
  <c r="AN10" i="30"/>
  <c r="V10" i="30"/>
  <c r="AT10" i="30"/>
  <c r="AL10" i="30"/>
  <c r="AE10" i="30"/>
  <c r="AZ10" i="30"/>
  <c r="AA10" i="30"/>
  <c r="X10" i="30"/>
  <c r="AR10" i="30"/>
  <c r="U10" i="30"/>
  <c r="Y10" i="30"/>
  <c r="AU10" i="30"/>
  <c r="AK10" i="30"/>
  <c r="W10" i="30"/>
  <c r="AD10" i="30"/>
  <c r="Z10" i="30"/>
  <c r="AO10" i="30"/>
  <c r="AM10" i="30"/>
  <c r="AC10" i="30"/>
  <c r="AP10" i="30"/>
  <c r="Q10" i="30" l="1"/>
  <c r="AJ10" i="30" s="1"/>
  <c r="AK11" i="30"/>
  <c r="AS11" i="30"/>
  <c r="AP11" i="30"/>
  <c r="S11" i="30"/>
  <c r="AF11" i="30"/>
  <c r="AV11" i="30"/>
  <c r="AU11" i="30"/>
  <c r="Z11" i="30"/>
  <c r="AX11" i="30"/>
  <c r="U11" i="30"/>
  <c r="AM11" i="30"/>
  <c r="R11" i="30"/>
  <c r="AQ11" i="30"/>
  <c r="AD11" i="30"/>
  <c r="AL11" i="30"/>
  <c r="AO11" i="30"/>
  <c r="AE11" i="30"/>
  <c r="AC11" i="30"/>
  <c r="Y11" i="30"/>
  <c r="AZ11" i="30"/>
  <c r="T11" i="30"/>
  <c r="AG11" i="30"/>
  <c r="AB11" i="30"/>
  <c r="W11" i="30"/>
  <c r="AR11" i="30"/>
  <c r="V11" i="30"/>
  <c r="AT11" i="30"/>
  <c r="AN11" i="30"/>
  <c r="X11" i="30"/>
  <c r="AW11" i="30"/>
  <c r="AA11" i="30"/>
  <c r="AY11" i="30"/>
  <c r="Q11" i="30" l="1"/>
  <c r="AJ11" i="30" s="1"/>
  <c r="AQ12" i="30"/>
  <c r="X12" i="30"/>
  <c r="R12" i="30"/>
  <c r="AN12" i="30"/>
  <c r="AB12" i="30"/>
  <c r="AK12" i="30"/>
  <c r="AC12" i="30"/>
  <c r="AV12" i="30"/>
  <c r="AR12" i="30"/>
  <c r="AE12" i="30"/>
  <c r="AX12" i="30"/>
  <c r="AL12" i="30"/>
  <c r="Z12" i="30"/>
  <c r="V12" i="30"/>
  <c r="AU12" i="30"/>
  <c r="AD12" i="30"/>
  <c r="T12" i="30"/>
  <c r="AZ12" i="30"/>
  <c r="AA12" i="30"/>
  <c r="AM12" i="30"/>
  <c r="U12" i="30"/>
  <c r="AY12" i="30"/>
  <c r="AW12" i="30"/>
  <c r="AF12" i="30"/>
  <c r="Y12" i="30"/>
  <c r="AS12" i="30"/>
  <c r="AP12" i="30"/>
  <c r="W12" i="30"/>
  <c r="AO12" i="30"/>
  <c r="AG12" i="30"/>
  <c r="AT12" i="30"/>
  <c r="S12" i="30"/>
  <c r="Q12" i="30" l="1"/>
  <c r="AJ12" i="30" s="1"/>
  <c r="AW13" i="30"/>
  <c r="S13" i="30"/>
  <c r="AM13" i="30"/>
  <c r="AQ13" i="30"/>
  <c r="X13" i="30"/>
  <c r="V13" i="30"/>
  <c r="AF13" i="30"/>
  <c r="AL13" i="30"/>
  <c r="AS13" i="30"/>
  <c r="AK13" i="30"/>
  <c r="W13" i="30"/>
  <c r="Y13" i="30"/>
  <c r="AU13" i="30"/>
  <c r="AV13" i="30"/>
  <c r="AX13" i="30"/>
  <c r="AT13" i="30"/>
  <c r="AB13" i="30"/>
  <c r="AN13" i="30"/>
  <c r="AY13" i="30"/>
  <c r="AE13" i="30"/>
  <c r="AO13" i="30"/>
  <c r="AR13" i="30"/>
  <c r="T13" i="30"/>
  <c r="AP13" i="30"/>
  <c r="AG13" i="30"/>
  <c r="Z13" i="30"/>
  <c r="AD13" i="30"/>
  <c r="AZ13" i="30"/>
  <c r="R13" i="30"/>
  <c r="U13" i="30"/>
  <c r="AC13" i="30"/>
  <c r="AA13" i="30"/>
  <c r="Q13" i="30" l="1"/>
  <c r="AJ13" i="30" s="1"/>
  <c r="T14" i="30"/>
  <c r="R14" i="30"/>
  <c r="AV14" i="30"/>
  <c r="AX14" i="30"/>
  <c r="X14" i="30"/>
  <c r="AB14" i="30"/>
  <c r="Z14" i="30"/>
  <c r="AT14" i="30"/>
  <c r="AW14" i="30"/>
  <c r="AK14" i="30"/>
  <c r="AC14" i="30"/>
  <c r="AF14" i="30"/>
  <c r="S14" i="30"/>
  <c r="AD14" i="30"/>
  <c r="AR14" i="30"/>
  <c r="W14" i="30"/>
  <c r="AU14" i="30"/>
  <c r="AA14" i="30"/>
  <c r="AN14" i="30"/>
  <c r="AZ14" i="30"/>
  <c r="AG14" i="30"/>
  <c r="AS14" i="30"/>
  <c r="AE14" i="30"/>
  <c r="AY14" i="30"/>
  <c r="V14" i="30"/>
  <c r="AM14" i="30"/>
  <c r="AO14" i="30"/>
  <c r="Y14" i="30"/>
  <c r="U14" i="30"/>
  <c r="AL14" i="30"/>
  <c r="AQ14" i="30"/>
  <c r="AP14" i="30"/>
  <c r="Q14" i="30" l="1"/>
  <c r="AJ14" i="30" s="1"/>
  <c r="AN15" i="30"/>
  <c r="AC15" i="30"/>
  <c r="AG15" i="30"/>
  <c r="AE15" i="30"/>
  <c r="AD15" i="30"/>
  <c r="AF15" i="30"/>
  <c r="AA15" i="30"/>
  <c r="AT15" i="30"/>
  <c r="AP15" i="30"/>
  <c r="Z15" i="30"/>
  <c r="AR15" i="30"/>
  <c r="AS15" i="30"/>
  <c r="AQ15" i="30"/>
  <c r="AO15" i="30"/>
  <c r="AB15" i="30"/>
  <c r="Y15" i="30"/>
  <c r="S15" i="30"/>
  <c r="W15" i="30"/>
  <c r="AL15" i="30"/>
  <c r="U15" i="30"/>
  <c r="V15" i="30"/>
  <c r="AY15" i="30"/>
  <c r="AK15" i="30"/>
  <c r="AU15" i="30"/>
  <c r="AX15" i="30"/>
  <c r="AM15" i="30"/>
  <c r="X15" i="30"/>
  <c r="AW15" i="30"/>
  <c r="AZ15" i="30"/>
  <c r="T15" i="30"/>
  <c r="R15" i="30"/>
  <c r="AV15" i="30"/>
  <c r="Q15" i="30" l="1"/>
  <c r="AJ15" i="30" s="1"/>
  <c r="AL16" i="30"/>
  <c r="R16" i="30"/>
  <c r="V16" i="30"/>
  <c r="AZ16" i="30"/>
  <c r="Y16" i="30"/>
  <c r="AA16" i="30"/>
  <c r="AP16" i="30"/>
  <c r="W16" i="30"/>
  <c r="AK16" i="30"/>
  <c r="AC16" i="30"/>
  <c r="AQ16" i="30"/>
  <c r="AW16" i="30"/>
  <c r="T16" i="30"/>
  <c r="AV16" i="30"/>
  <c r="AB16" i="30"/>
  <c r="Z16" i="30"/>
  <c r="U16" i="30"/>
  <c r="AX16" i="30"/>
  <c r="AD16" i="30"/>
  <c r="AR16" i="30"/>
  <c r="S16" i="30"/>
  <c r="AU16" i="30"/>
  <c r="AF16" i="30"/>
  <c r="AT16" i="30"/>
  <c r="AO16" i="30"/>
  <c r="AY16" i="30"/>
  <c r="AN16" i="30"/>
  <c r="AE16" i="30"/>
  <c r="X16" i="30"/>
  <c r="AS16" i="30"/>
  <c r="AM16" i="30"/>
  <c r="AG16" i="30"/>
  <c r="Q16" i="30" l="1"/>
  <c r="AJ16" i="30" s="1"/>
  <c r="AX17" i="30"/>
  <c r="U17" i="30"/>
  <c r="Y17" i="30"/>
  <c r="AU17" i="30"/>
  <c r="AT17" i="30"/>
  <c r="AN17" i="30"/>
  <c r="AA17" i="30"/>
  <c r="AK17" i="30"/>
  <c r="AY17" i="30"/>
  <c r="AS17" i="30"/>
  <c r="Z17" i="30"/>
  <c r="AF17" i="30"/>
  <c r="AR17" i="30"/>
  <c r="AB17" i="30"/>
  <c r="AE17" i="30"/>
  <c r="AC17" i="30"/>
  <c r="AD17" i="30"/>
  <c r="AZ17" i="30"/>
  <c r="AG17" i="30"/>
  <c r="V17" i="30"/>
  <c r="S17" i="30"/>
  <c r="W17" i="30"/>
  <c r="T17" i="30"/>
  <c r="AW17" i="30"/>
  <c r="AP17" i="30"/>
  <c r="R17" i="30"/>
  <c r="AL17" i="30"/>
  <c r="AQ17" i="30"/>
  <c r="X17" i="30"/>
  <c r="AO17" i="30"/>
  <c r="AM17" i="30"/>
  <c r="AV17" i="30"/>
  <c r="Q17" i="30" l="1"/>
  <c r="AJ17" i="30" s="1"/>
  <c r="Z18" i="30"/>
  <c r="AE18" i="30"/>
  <c r="V18" i="30"/>
  <c r="AS18" i="30"/>
  <c r="AL18" i="30"/>
  <c r="AX18" i="30"/>
  <c r="U18" i="30"/>
  <c r="W18" i="30"/>
  <c r="X18" i="30"/>
  <c r="AT18" i="30"/>
  <c r="AW18" i="30"/>
  <c r="Y18" i="30"/>
  <c r="AY18" i="30"/>
  <c r="S18" i="30"/>
  <c r="AD18" i="30"/>
  <c r="AF18" i="30"/>
  <c r="AP18" i="30"/>
  <c r="AU18" i="30"/>
  <c r="AR18" i="30"/>
  <c r="AZ18" i="30"/>
  <c r="AB18" i="30"/>
  <c r="AA18" i="30"/>
  <c r="T18" i="30"/>
  <c r="AQ18" i="30"/>
  <c r="AN18" i="30"/>
  <c r="AM18" i="30"/>
  <c r="AK18" i="30"/>
  <c r="AG18" i="30"/>
  <c r="AC18" i="30"/>
  <c r="R18" i="30"/>
  <c r="AO18" i="30"/>
  <c r="AV18" i="30"/>
  <c r="Q18" i="30" l="1"/>
  <c r="AJ18" i="30" s="1"/>
  <c r="AA19" i="30"/>
  <c r="AD19" i="30"/>
  <c r="AS19" i="30"/>
  <c r="Z19" i="30"/>
  <c r="S19" i="30"/>
  <c r="AE19" i="30"/>
  <c r="AP19" i="30"/>
  <c r="AF19" i="30"/>
  <c r="AZ19" i="30"/>
  <c r="AB19" i="30"/>
  <c r="AV19" i="30"/>
  <c r="U19" i="30"/>
  <c r="X19" i="30"/>
  <c r="W19" i="30"/>
  <c r="AQ19" i="30"/>
  <c r="AR19" i="30"/>
  <c r="AW19" i="30"/>
  <c r="AO19" i="30"/>
  <c r="R19" i="30"/>
  <c r="AM19" i="30"/>
  <c r="AG19" i="30"/>
  <c r="AX19" i="30"/>
  <c r="AC19" i="30"/>
  <c r="AT19" i="30"/>
  <c r="AN19" i="30"/>
  <c r="Y19" i="30"/>
  <c r="AU19" i="30"/>
  <c r="AK19" i="30"/>
  <c r="AY19" i="30"/>
  <c r="V19" i="30"/>
  <c r="T19" i="30"/>
  <c r="AL19" i="30"/>
  <c r="Q19" i="30" l="1"/>
  <c r="AJ19" i="30" s="1"/>
  <c r="AR20" i="30"/>
  <c r="X20" i="30"/>
  <c r="R20" i="30"/>
  <c r="AD20" i="30"/>
  <c r="V20" i="30"/>
  <c r="AZ20" i="30"/>
  <c r="AY20" i="30"/>
  <c r="Z20" i="30"/>
  <c r="AC20" i="30"/>
  <c r="T20" i="30"/>
  <c r="AG20" i="30"/>
  <c r="AK20" i="30"/>
  <c r="AS20" i="30"/>
  <c r="AB20" i="30"/>
  <c r="AA20" i="30"/>
  <c r="AT20" i="30"/>
  <c r="AE20" i="30"/>
  <c r="AF20" i="30"/>
  <c r="AU20" i="30"/>
  <c r="AN20" i="30"/>
  <c r="AX20" i="30"/>
  <c r="AW20" i="30"/>
  <c r="AM20" i="30"/>
  <c r="AO20" i="30"/>
  <c r="Y20" i="30"/>
  <c r="U20" i="30"/>
  <c r="AQ20" i="30"/>
  <c r="W20" i="30"/>
  <c r="AV20" i="30"/>
  <c r="AL20" i="30"/>
  <c r="AP20" i="30"/>
  <c r="S20" i="30"/>
  <c r="Q20" i="30" l="1"/>
  <c r="AJ20" i="30" s="1"/>
  <c r="T21" i="30"/>
  <c r="AW21" i="30"/>
  <c r="AP21" i="30"/>
  <c r="AO21" i="30"/>
  <c r="AG21" i="30"/>
  <c r="AR21" i="30"/>
  <c r="AU21" i="30"/>
  <c r="AS21" i="30"/>
  <c r="AX21" i="30"/>
  <c r="AM21" i="30"/>
  <c r="W21" i="30"/>
  <c r="AL21" i="30"/>
  <c r="AV21" i="30"/>
  <c r="AE21" i="30"/>
  <c r="AD21" i="30"/>
  <c r="AN21" i="30"/>
  <c r="S21" i="30"/>
  <c r="AQ21" i="30"/>
  <c r="R21" i="30"/>
  <c r="AF21" i="30"/>
  <c r="AZ21" i="30"/>
  <c r="Z21" i="30"/>
  <c r="AC21" i="30"/>
  <c r="AB21" i="30"/>
  <c r="AA21" i="30"/>
  <c r="AY21" i="30"/>
  <c r="X21" i="30"/>
  <c r="AK21" i="30"/>
  <c r="U21" i="30"/>
  <c r="Y21" i="30"/>
  <c r="V21" i="30"/>
  <c r="AT21" i="30"/>
  <c r="Q21" i="30" l="1"/>
  <c r="AJ21" i="30" s="1"/>
  <c r="AO22" i="30"/>
  <c r="AB22" i="30"/>
  <c r="AZ22" i="30"/>
  <c r="AK22" i="30"/>
  <c r="AN22" i="30"/>
  <c r="AX22" i="30"/>
  <c r="T22" i="30"/>
  <c r="AG22" i="30"/>
  <c r="W22" i="30"/>
  <c r="AM22" i="30"/>
  <c r="U22" i="30"/>
  <c r="AV22" i="30"/>
  <c r="V22" i="30"/>
  <c r="AD22" i="30"/>
  <c r="AL22" i="30"/>
  <c r="AC22" i="30"/>
  <c r="AS22" i="30"/>
  <c r="AT22" i="30"/>
  <c r="AY22" i="30"/>
  <c r="R22" i="30"/>
  <c r="AF22" i="30"/>
  <c r="AA22" i="30"/>
  <c r="Y22" i="30"/>
  <c r="X22" i="30"/>
  <c r="AR22" i="30"/>
  <c r="AP22" i="30"/>
  <c r="AQ22" i="30"/>
  <c r="AW22" i="30"/>
  <c r="AE22" i="30"/>
  <c r="S22" i="30"/>
  <c r="Z22" i="30"/>
  <c r="AU22" i="30"/>
  <c r="Q22" i="30" l="1"/>
  <c r="AJ22" i="30" s="1"/>
  <c r="T23" i="30"/>
  <c r="S23" i="30"/>
  <c r="AQ23" i="30"/>
  <c r="AO23" i="30"/>
  <c r="AR23" i="30"/>
  <c r="AX23" i="30"/>
  <c r="AV23" i="30"/>
  <c r="W23" i="30"/>
  <c r="AS23" i="30"/>
  <c r="AM23" i="30"/>
  <c r="AW23" i="30"/>
  <c r="AZ23" i="30"/>
  <c r="AC23" i="30"/>
  <c r="AE23" i="30"/>
  <c r="AB23" i="30"/>
  <c r="V23" i="30"/>
  <c r="X23" i="30"/>
  <c r="AY23" i="30"/>
  <c r="AA23" i="30"/>
  <c r="AP23" i="30"/>
  <c r="AL23" i="30"/>
  <c r="R23" i="30"/>
  <c r="Z23" i="30"/>
  <c r="AK23" i="30"/>
  <c r="AG23" i="30"/>
  <c r="AT23" i="30"/>
  <c r="U23" i="30"/>
  <c r="AN23" i="30"/>
  <c r="Y23" i="30"/>
  <c r="AF23" i="30"/>
  <c r="AU23" i="30"/>
  <c r="AD23" i="30"/>
  <c r="Q23" i="30" l="1"/>
  <c r="AJ23" i="30" s="1"/>
  <c r="AN24" i="30"/>
  <c r="AB24" i="30"/>
  <c r="AX24" i="30"/>
  <c r="AR24" i="30"/>
  <c r="X24" i="30"/>
  <c r="AP24" i="30"/>
  <c r="AQ24" i="30"/>
  <c r="AT24" i="30"/>
  <c r="AC24" i="30"/>
  <c r="AL24" i="30"/>
  <c r="AK24" i="30"/>
  <c r="S24" i="30"/>
  <c r="Y24" i="30"/>
  <c r="AS24" i="30"/>
  <c r="AG24" i="30"/>
  <c r="T24" i="30"/>
  <c r="W24" i="30"/>
  <c r="U24" i="30"/>
  <c r="AM24" i="30"/>
  <c r="AD24" i="30"/>
  <c r="V24" i="30"/>
  <c r="AF24" i="30"/>
  <c r="Z24" i="30"/>
  <c r="AU24" i="30"/>
  <c r="R24" i="30"/>
  <c r="AV24" i="30"/>
  <c r="AO24" i="30"/>
  <c r="AZ24" i="30"/>
  <c r="AE24" i="30"/>
  <c r="AY24" i="30"/>
  <c r="AW24" i="30"/>
  <c r="AA24" i="30"/>
  <c r="Q24" i="30" l="1"/>
  <c r="AJ24" i="30" s="1"/>
  <c r="X25" i="30"/>
  <c r="AN25" i="30"/>
  <c r="AE25" i="30"/>
  <c r="AO25" i="30"/>
  <c r="AW25" i="30"/>
  <c r="W25" i="30"/>
  <c r="AU25" i="30"/>
  <c r="AP25" i="30"/>
  <c r="AB25" i="30"/>
  <c r="AY25" i="30"/>
  <c r="AC25" i="30"/>
  <c r="AV25" i="30"/>
  <c r="AK25" i="30"/>
  <c r="AA25" i="30"/>
  <c r="Z25" i="30"/>
  <c r="AT25" i="30"/>
  <c r="S25" i="30"/>
  <c r="AX25" i="30"/>
  <c r="AQ25" i="30"/>
  <c r="AM25" i="30"/>
  <c r="Y25" i="30"/>
  <c r="R25" i="30"/>
  <c r="T25" i="30"/>
  <c r="U25" i="30"/>
  <c r="AG25" i="30"/>
  <c r="AF25" i="30"/>
  <c r="AR25" i="30"/>
  <c r="AL25" i="30"/>
  <c r="V25" i="30"/>
  <c r="AZ25" i="30"/>
  <c r="AS25" i="30"/>
  <c r="AD25" i="30"/>
  <c r="Q25" i="30" l="1"/>
  <c r="AJ25" i="30" s="1"/>
  <c r="X26" i="30"/>
  <c r="Z26" i="30"/>
  <c r="AU26" i="30"/>
  <c r="AQ26" i="30"/>
  <c r="AW26" i="30"/>
  <c r="AN26" i="30"/>
  <c r="AM26" i="30"/>
  <c r="AA26" i="30"/>
  <c r="T26" i="30"/>
  <c r="AO26" i="30"/>
  <c r="U26" i="30"/>
  <c r="AE26" i="30"/>
  <c r="AZ26" i="30"/>
  <c r="V26" i="30"/>
  <c r="AP26" i="30"/>
  <c r="AX26" i="30"/>
  <c r="W26" i="30"/>
  <c r="AK26" i="30"/>
  <c r="S26" i="30"/>
  <c r="AB26" i="30"/>
  <c r="R26" i="30"/>
  <c r="AL26" i="30"/>
  <c r="AC26" i="30"/>
  <c r="AS26" i="30"/>
  <c r="AG26" i="30"/>
  <c r="AD26" i="30"/>
  <c r="AV26" i="30"/>
  <c r="AF26" i="30"/>
  <c r="AR26" i="30"/>
  <c r="AY26" i="30"/>
  <c r="AT26" i="30"/>
  <c r="Y26" i="30"/>
  <c r="Q26" i="30" l="1"/>
  <c r="AJ26" i="30" s="1"/>
  <c r="AD27" i="30"/>
  <c r="AL27" i="30"/>
  <c r="Z27" i="30"/>
  <c r="AG27" i="30"/>
  <c r="AW27" i="30"/>
  <c r="AP27" i="30"/>
  <c r="AC27" i="30"/>
  <c r="AR27" i="30"/>
  <c r="V27" i="30"/>
  <c r="AE27" i="30"/>
  <c r="AF27" i="30"/>
  <c r="AM27" i="30"/>
  <c r="S27" i="30"/>
  <c r="R27" i="30"/>
  <c r="AB27" i="30"/>
  <c r="T27" i="30"/>
  <c r="AN27" i="30"/>
  <c r="AO27" i="30"/>
  <c r="Y27" i="30"/>
  <c r="AA27" i="30"/>
  <c r="AS27" i="30"/>
  <c r="AQ27" i="30"/>
  <c r="AZ27" i="30"/>
  <c r="AY27" i="30"/>
  <c r="AK27" i="30"/>
  <c r="AX27" i="30"/>
  <c r="AU27" i="30"/>
  <c r="AT27" i="30"/>
  <c r="U27" i="30"/>
  <c r="X27" i="30"/>
  <c r="W27" i="30"/>
  <c r="AV27" i="30"/>
  <c r="Q27" i="30" l="1"/>
  <c r="AJ27" i="30" s="1"/>
  <c r="AL28" i="30"/>
  <c r="AK28" i="30"/>
  <c r="T28" i="30"/>
  <c r="AG28" i="30"/>
  <c r="AR28" i="30"/>
  <c r="Z28" i="30"/>
  <c r="AV28" i="30"/>
  <c r="Y28" i="30"/>
  <c r="R28" i="30"/>
  <c r="AO28" i="30"/>
  <c r="V28" i="30"/>
  <c r="X28" i="30"/>
  <c r="AQ28" i="30"/>
  <c r="AS28" i="30"/>
  <c r="AM28" i="30"/>
  <c r="AY28" i="30"/>
  <c r="AX28" i="30"/>
  <c r="AP28" i="30"/>
  <c r="AF28" i="30"/>
  <c r="AW28" i="30"/>
  <c r="AD28" i="30"/>
  <c r="AU28" i="30"/>
  <c r="AN28" i="30"/>
  <c r="AC28" i="30"/>
  <c r="U28" i="30"/>
  <c r="W28" i="30"/>
  <c r="AB28" i="30"/>
  <c r="AE28" i="30"/>
  <c r="AA28" i="30"/>
  <c r="AZ28" i="30"/>
  <c r="S28" i="30"/>
  <c r="AT28" i="30"/>
  <c r="Q28" i="30" l="1"/>
  <c r="AJ28" i="30" s="1"/>
  <c r="Z29" i="30"/>
  <c r="AM29" i="30"/>
  <c r="S29" i="30"/>
  <c r="T29" i="30"/>
  <c r="AA29" i="30"/>
  <c r="V29" i="30"/>
  <c r="AC29" i="30"/>
  <c r="AD29" i="30"/>
  <c r="AK29" i="30"/>
  <c r="AO29" i="30"/>
  <c r="AW29" i="30"/>
  <c r="X29" i="30"/>
  <c r="AS29" i="30"/>
  <c r="AX29" i="30"/>
  <c r="AY29" i="30"/>
  <c r="AP29" i="30"/>
  <c r="AZ29" i="30"/>
  <c r="AE29" i="30"/>
  <c r="AR29" i="30"/>
  <c r="U29" i="30"/>
  <c r="AB29" i="30"/>
  <c r="Y29" i="30"/>
  <c r="AU29" i="30"/>
  <c r="AQ29" i="30"/>
  <c r="AT29" i="30"/>
  <c r="AV29" i="30"/>
  <c r="W29" i="30"/>
  <c r="AL29" i="30"/>
  <c r="AN29" i="30"/>
  <c r="AG29" i="30"/>
  <c r="R29" i="30"/>
  <c r="AF29" i="30"/>
  <c r="Q29" i="30" l="1"/>
  <c r="AJ29" i="30" s="1"/>
  <c r="AS30" i="30"/>
  <c r="V30" i="30"/>
  <c r="AT30" i="30"/>
  <c r="AR30" i="30"/>
  <c r="AL30" i="30"/>
  <c r="AM30" i="30"/>
  <c r="AB30" i="30"/>
  <c r="AN30" i="30"/>
  <c r="AG30" i="30"/>
  <c r="AF30" i="30"/>
  <c r="AZ30" i="30"/>
  <c r="AX30" i="30"/>
  <c r="Z30" i="30"/>
  <c r="AD30" i="30"/>
  <c r="AA30" i="30"/>
  <c r="S30" i="30"/>
  <c r="T30" i="30"/>
  <c r="AV30" i="30"/>
  <c r="AW30" i="30"/>
  <c r="AP30" i="30"/>
  <c r="AY30" i="30"/>
  <c r="AQ30" i="30"/>
  <c r="R30" i="30"/>
  <c r="X30" i="30"/>
  <c r="AO30" i="30"/>
  <c r="AU30" i="30"/>
  <c r="AK30" i="30"/>
  <c r="AE30" i="30"/>
  <c r="AC30" i="30"/>
  <c r="W30" i="30"/>
  <c r="U30" i="30"/>
  <c r="Y30" i="30"/>
  <c r="Q30" i="30" l="1"/>
  <c r="AJ30" i="30" s="1"/>
  <c r="Y31" i="30"/>
  <c r="R31" i="30"/>
  <c r="AZ31" i="30"/>
  <c r="AR31" i="30"/>
  <c r="V31" i="30"/>
  <c r="AO31" i="30"/>
  <c r="S31" i="30"/>
  <c r="AY31" i="30"/>
  <c r="U31" i="30"/>
  <c r="AP31" i="30"/>
  <c r="W31" i="30"/>
  <c r="AW31" i="30"/>
  <c r="AS31" i="30"/>
  <c r="AF31" i="30"/>
  <c r="AX31" i="30"/>
  <c r="AA31" i="30"/>
  <c r="AM31" i="30"/>
  <c r="AG31" i="30"/>
  <c r="AC31" i="30"/>
  <c r="AT31" i="30"/>
  <c r="AK31" i="30"/>
  <c r="AD31" i="30"/>
  <c r="AB31" i="30"/>
  <c r="AV31" i="30"/>
  <c r="AN31" i="30"/>
  <c r="AL31" i="30"/>
  <c r="AQ31" i="30"/>
  <c r="T31" i="30"/>
  <c r="AE31" i="30"/>
  <c r="Z31" i="30"/>
  <c r="X31" i="30"/>
  <c r="AU31" i="30"/>
  <c r="Q31" i="30" l="1"/>
  <c r="AJ31" i="30" s="1"/>
  <c r="AA32" i="30"/>
  <c r="X32" i="30"/>
  <c r="S32" i="30"/>
  <c r="AM32" i="30"/>
  <c r="AK32" i="30"/>
  <c r="AW32" i="30"/>
  <c r="AX32" i="30"/>
  <c r="Y32" i="30"/>
  <c r="AT32" i="30"/>
  <c r="AB32" i="30"/>
  <c r="U32" i="30"/>
  <c r="AV32" i="30"/>
  <c r="AO32" i="30"/>
  <c r="Z32" i="30"/>
  <c r="AF32" i="30"/>
  <c r="AN32" i="30"/>
  <c r="AC32" i="30"/>
  <c r="AQ32" i="30"/>
  <c r="V32" i="30"/>
  <c r="AY32" i="30"/>
  <c r="AU32" i="30"/>
  <c r="W32" i="30"/>
  <c r="AR32" i="30"/>
  <c r="T32" i="30"/>
  <c r="AL32" i="30"/>
  <c r="R32" i="30"/>
  <c r="AS32" i="30"/>
  <c r="AP32" i="30"/>
  <c r="AE32" i="30"/>
  <c r="AG32" i="30"/>
  <c r="AZ32" i="30"/>
  <c r="AD32" i="30"/>
  <c r="Q32" i="30" l="1"/>
  <c r="AJ32" i="30" s="1"/>
  <c r="AE33" i="30"/>
  <c r="AK33" i="30"/>
  <c r="AV33" i="30"/>
  <c r="R33" i="30"/>
  <c r="W33" i="30"/>
  <c r="AF33" i="30"/>
  <c r="AD33" i="30"/>
  <c r="AR33" i="30"/>
  <c r="AG33" i="30"/>
  <c r="AM33" i="30"/>
  <c r="AX33" i="30"/>
  <c r="Z33" i="30"/>
  <c r="T33" i="30"/>
  <c r="X33" i="30"/>
  <c r="V33" i="30"/>
  <c r="AY33" i="30"/>
  <c r="AT33" i="30"/>
  <c r="AP33" i="30"/>
  <c r="AN33" i="30"/>
  <c r="AO33" i="30"/>
  <c r="AQ33" i="30"/>
  <c r="AA33" i="30"/>
  <c r="S33" i="30"/>
  <c r="AS33" i="30"/>
  <c r="AU33" i="30"/>
  <c r="AB33" i="30"/>
  <c r="U33" i="30"/>
  <c r="AZ33" i="30"/>
  <c r="AC33" i="30"/>
  <c r="AL33" i="30"/>
  <c r="Y33" i="30"/>
  <c r="AW33" i="30"/>
  <c r="Q33" i="30" l="1"/>
  <c r="AJ33" i="30" s="1"/>
  <c r="AG34" i="30"/>
  <c r="V34" i="30"/>
  <c r="T34" i="30"/>
  <c r="AV34" i="30"/>
  <c r="AU34" i="30"/>
  <c r="AM34" i="30"/>
  <c r="AP34" i="30"/>
  <c r="S34" i="30"/>
  <c r="AO34" i="30"/>
  <c r="AS34" i="30"/>
  <c r="AN34" i="30"/>
  <c r="U34" i="30"/>
  <c r="AR34" i="30"/>
  <c r="AZ34" i="30"/>
  <c r="AT34" i="30"/>
  <c r="R34" i="30"/>
  <c r="AE34" i="30"/>
  <c r="AB34" i="30"/>
  <c r="X34" i="30"/>
  <c r="AC34" i="30"/>
  <c r="Z34" i="30"/>
  <c r="AF34" i="30"/>
  <c r="AY34" i="30"/>
  <c r="AD34" i="30"/>
  <c r="AK34" i="30"/>
  <c r="AA34" i="30"/>
  <c r="Y34" i="30"/>
  <c r="W34" i="30"/>
  <c r="AQ34" i="30"/>
  <c r="AX34" i="30"/>
  <c r="AW34" i="30"/>
  <c r="AL34" i="30"/>
  <c r="Q34" i="30" l="1"/>
  <c r="AJ34" i="30" s="1"/>
  <c r="R35" i="30"/>
  <c r="AL35" i="30"/>
  <c r="AY35" i="30"/>
  <c r="T35" i="30"/>
  <c r="S35" i="30"/>
  <c r="AS35" i="30"/>
  <c r="V35" i="30"/>
  <c r="AB35" i="30"/>
  <c r="AQ35" i="30"/>
  <c r="AR35" i="30"/>
  <c r="AN35" i="30"/>
  <c r="AU35" i="30"/>
  <c r="U35" i="30"/>
  <c r="AF35" i="30"/>
  <c r="AK35" i="30"/>
  <c r="AV35" i="30"/>
  <c r="Y35" i="30"/>
  <c r="AE35" i="30"/>
  <c r="AO35" i="30"/>
  <c r="AZ35" i="30"/>
  <c r="AC35" i="30"/>
  <c r="AM35" i="30"/>
  <c r="AX35" i="30"/>
  <c r="AG35" i="30"/>
  <c r="X35" i="30"/>
  <c r="AT35" i="30"/>
  <c r="W35" i="30"/>
  <c r="AD35" i="30"/>
  <c r="AW35" i="30"/>
  <c r="AP35" i="30"/>
  <c r="Z35" i="30"/>
  <c r="AA35" i="30"/>
  <c r="Q35" i="30" l="1"/>
  <c r="AJ35" i="30" s="1"/>
  <c r="AV36" i="30"/>
  <c r="U36" i="30"/>
  <c r="Y36" i="30"/>
  <c r="AQ36" i="30"/>
  <c r="AY36" i="30"/>
  <c r="AR36" i="30"/>
  <c r="AC36" i="30"/>
  <c r="AE36" i="30"/>
  <c r="AO36" i="30"/>
  <c r="S36" i="30"/>
  <c r="Z36" i="30"/>
  <c r="AX36" i="30"/>
  <c r="AM36" i="30"/>
  <c r="AK36" i="30"/>
  <c r="AD36" i="30"/>
  <c r="R36" i="30"/>
  <c r="AT36" i="30"/>
  <c r="V36" i="30"/>
  <c r="AS36" i="30"/>
  <c r="AF36" i="30"/>
  <c r="AZ36" i="30"/>
  <c r="AB36" i="30"/>
  <c r="AU36" i="30"/>
  <c r="AL36" i="30"/>
  <c r="AN36" i="30"/>
  <c r="T36" i="30"/>
  <c r="AP36" i="30"/>
  <c r="W36" i="30"/>
  <c r="AW36" i="30"/>
  <c r="AA36" i="30"/>
  <c r="X36" i="30"/>
  <c r="AG36" i="30"/>
  <c r="Q36" i="30" l="1"/>
  <c r="AJ36" i="30" s="1"/>
  <c r="AZ37" i="30"/>
  <c r="R37" i="30"/>
  <c r="AS37" i="30"/>
  <c r="AX37" i="30"/>
  <c r="AU37" i="30"/>
  <c r="U37" i="30"/>
  <c r="W37" i="30"/>
  <c r="V37" i="30"/>
  <c r="AL37" i="30"/>
  <c r="AR37" i="30"/>
  <c r="AQ37" i="30"/>
  <c r="AA37" i="30"/>
  <c r="T37" i="30"/>
  <c r="AC37" i="30"/>
  <c r="AY37" i="30"/>
  <c r="AD37" i="30"/>
  <c r="AM37" i="30"/>
  <c r="AP37" i="30"/>
  <c r="AG37" i="30"/>
  <c r="AK37" i="30"/>
  <c r="AT37" i="30"/>
  <c r="AW37" i="30"/>
  <c r="AN37" i="30"/>
  <c r="Z37" i="30"/>
  <c r="AO37" i="30"/>
  <c r="X37" i="30"/>
  <c r="AE37" i="30"/>
  <c r="AF37" i="30"/>
  <c r="Y37" i="30"/>
  <c r="AB37" i="30"/>
  <c r="S37" i="30"/>
  <c r="AV37" i="30"/>
  <c r="Q37" i="30" l="1"/>
  <c r="AJ37" i="30" s="1"/>
  <c r="R38" i="30"/>
  <c r="AL38" i="30"/>
  <c r="W38" i="30"/>
  <c r="AK38" i="30"/>
  <c r="AV38" i="30"/>
  <c r="AR38" i="30"/>
  <c r="U38" i="30"/>
  <c r="AW38" i="30"/>
  <c r="AO38" i="30"/>
  <c r="AZ38" i="30"/>
  <c r="Y38" i="30"/>
  <c r="AP38" i="30"/>
  <c r="AX38" i="30"/>
  <c r="AN38" i="30"/>
  <c r="AM38" i="30"/>
  <c r="AY38" i="30"/>
  <c r="T38" i="30"/>
  <c r="AD38" i="30"/>
  <c r="AQ38" i="30"/>
  <c r="AE38" i="30"/>
  <c r="S38" i="30"/>
  <c r="AF38" i="30"/>
  <c r="V38" i="30"/>
  <c r="AA38" i="30"/>
  <c r="X38" i="30"/>
  <c r="AT38" i="30"/>
  <c r="AS38" i="30"/>
  <c r="Z38" i="30"/>
  <c r="AC38" i="30"/>
  <c r="AG38" i="30"/>
  <c r="AU38" i="30"/>
  <c r="AB38" i="30"/>
  <c r="Q38" i="30" l="1"/>
  <c r="AJ38" i="30" s="1"/>
  <c r="AS39" i="30"/>
  <c r="AY39" i="30"/>
  <c r="AL39" i="30"/>
  <c r="U39" i="30"/>
  <c r="AF39" i="30"/>
  <c r="AO39" i="30"/>
  <c r="AZ39" i="30"/>
  <c r="AK39" i="30"/>
  <c r="X39" i="30"/>
  <c r="AU39" i="30"/>
  <c r="AW39" i="30"/>
  <c r="AM39" i="30"/>
  <c r="AN39" i="30"/>
  <c r="V39" i="30"/>
  <c r="AE39" i="30"/>
  <c r="AR39" i="30"/>
  <c r="AV39" i="30"/>
  <c r="AB39" i="30"/>
  <c r="AA39" i="30"/>
  <c r="Z39" i="30"/>
  <c r="T39" i="30"/>
  <c r="AD39" i="30"/>
  <c r="W39" i="30"/>
  <c r="AP39" i="30"/>
  <c r="AG39" i="30"/>
  <c r="AQ39" i="30"/>
  <c r="R39" i="30"/>
  <c r="AX39" i="30"/>
  <c r="AT39" i="30"/>
  <c r="Y39" i="30"/>
  <c r="S39" i="30"/>
  <c r="AC39" i="30"/>
  <c r="Q39" i="30" l="1"/>
  <c r="AJ39" i="30" s="1"/>
  <c r="AQ40" i="30"/>
  <c r="Z40" i="30"/>
  <c r="U40" i="30"/>
  <c r="AM40" i="30"/>
  <c r="R40" i="30"/>
  <c r="AX40" i="30"/>
  <c r="T40" i="30"/>
  <c r="W40" i="30"/>
  <c r="AF40" i="30"/>
  <c r="AR40" i="30"/>
  <c r="AN40" i="30"/>
  <c r="AG40" i="30"/>
  <c r="AC40" i="30"/>
  <c r="AB40" i="30"/>
  <c r="AP40" i="30"/>
  <c r="AY40" i="30"/>
  <c r="AE40" i="30"/>
  <c r="AD40" i="30"/>
  <c r="AL40" i="30"/>
  <c r="V40" i="30"/>
  <c r="X40" i="30"/>
  <c r="AS40" i="30"/>
  <c r="AU40" i="30"/>
  <c r="AT40" i="30"/>
  <c r="Y40" i="30"/>
  <c r="AK40" i="30"/>
  <c r="AO40" i="30"/>
  <c r="AV40" i="30"/>
  <c r="AZ40" i="30"/>
  <c r="S40" i="30"/>
  <c r="AW40" i="30"/>
  <c r="AA40" i="30"/>
  <c r="Q40" i="30" l="1"/>
  <c r="AJ40" i="30" s="1"/>
  <c r="AE41" i="30"/>
  <c r="AW41" i="30"/>
  <c r="S41" i="30"/>
  <c r="AK41" i="30"/>
  <c r="AR41" i="30"/>
  <c r="Z41" i="30"/>
  <c r="R41" i="30"/>
  <c r="AV41" i="30"/>
  <c r="T41" i="30"/>
  <c r="AT41" i="30"/>
  <c r="AC41" i="30"/>
  <c r="AD41" i="30"/>
  <c r="AN41" i="30"/>
  <c r="AA41" i="30"/>
  <c r="AX41" i="30"/>
  <c r="X41" i="30"/>
  <c r="AZ41" i="30"/>
  <c r="AO41" i="30"/>
  <c r="V41" i="30"/>
  <c r="AS41" i="30"/>
  <c r="U41" i="30"/>
  <c r="AY41" i="30"/>
  <c r="AB41" i="30"/>
  <c r="Y41" i="30"/>
  <c r="AM41" i="30"/>
  <c r="AG41" i="30"/>
  <c r="AQ41" i="30"/>
  <c r="AF41" i="30"/>
  <c r="AL41" i="30"/>
  <c r="W41" i="30"/>
  <c r="AU41" i="30"/>
  <c r="AP41" i="30"/>
  <c r="Q41" i="30" l="1"/>
  <c r="AJ41" i="30" s="1"/>
  <c r="AG42" i="30"/>
  <c r="AV42" i="30"/>
  <c r="Z42" i="30"/>
  <c r="AF42" i="30"/>
  <c r="V42" i="30"/>
  <c r="W42" i="30"/>
  <c r="AN42" i="30"/>
  <c r="AT42" i="30"/>
  <c r="AM42" i="30"/>
  <c r="T42" i="30"/>
  <c r="X42" i="30"/>
  <c r="AR42" i="30"/>
  <c r="AZ42" i="30"/>
  <c r="AO42" i="30"/>
  <c r="AB42" i="30"/>
  <c r="AL42" i="30"/>
  <c r="AK42" i="30"/>
  <c r="AS42" i="30"/>
  <c r="U42" i="30"/>
  <c r="AA42" i="30"/>
  <c r="AW42" i="30"/>
  <c r="R42" i="30"/>
  <c r="AY42" i="30"/>
  <c r="AC42" i="30"/>
  <c r="AD42" i="30"/>
  <c r="AQ42" i="30"/>
  <c r="S42" i="30"/>
  <c r="AP42" i="30"/>
  <c r="AU42" i="30"/>
  <c r="AX42" i="30"/>
  <c r="AE42" i="30"/>
  <c r="Y42" i="30"/>
  <c r="Q42" i="30" l="1"/>
  <c r="AJ42" i="30" s="1"/>
  <c r="AU43" i="30"/>
  <c r="AS43" i="30"/>
  <c r="AE43" i="30"/>
  <c r="V43" i="30"/>
  <c r="AO43" i="30"/>
  <c r="AD43" i="30"/>
  <c r="Y43" i="30"/>
  <c r="AG43" i="30"/>
  <c r="AP43" i="30"/>
  <c r="AF43" i="30"/>
  <c r="AL43" i="30"/>
  <c r="U43" i="30"/>
  <c r="Z43" i="30"/>
  <c r="AV43" i="30"/>
  <c r="AR43" i="30"/>
  <c r="AC43" i="30"/>
  <c r="AT43" i="30"/>
  <c r="W43" i="30"/>
  <c r="AM43" i="30"/>
  <c r="AX43" i="30"/>
  <c r="T43" i="30"/>
  <c r="AK43" i="30"/>
  <c r="AZ43" i="30"/>
  <c r="AN43" i="30"/>
  <c r="AQ43" i="30"/>
  <c r="AW43" i="30"/>
  <c r="AB43" i="30"/>
  <c r="X43" i="30"/>
  <c r="S43" i="30"/>
  <c r="AY43" i="30"/>
  <c r="R43" i="30"/>
  <c r="AA43" i="30"/>
  <c r="Q43" i="30" l="1"/>
  <c r="AJ43" i="30" s="1"/>
  <c r="AC44" i="30"/>
  <c r="AT44" i="30"/>
  <c r="Z44" i="30"/>
  <c r="AO44" i="30"/>
  <c r="T44" i="30"/>
  <c r="AK44" i="30"/>
  <c r="AF44" i="30"/>
  <c r="R44" i="30"/>
  <c r="AX44" i="30"/>
  <c r="AW44" i="30"/>
  <c r="AY44" i="30"/>
  <c r="AP44" i="30"/>
  <c r="V44" i="30"/>
  <c r="U44" i="30"/>
  <c r="AD44" i="30"/>
  <c r="AN44" i="30"/>
  <c r="AZ44" i="30"/>
  <c r="AV44" i="30"/>
  <c r="AR44" i="30"/>
  <c r="X44" i="30"/>
  <c r="AS44" i="30"/>
  <c r="AM44" i="30"/>
  <c r="AL44" i="30"/>
  <c r="Y44" i="30"/>
  <c r="AB44" i="30"/>
  <c r="AU44" i="30"/>
  <c r="AE44" i="30"/>
  <c r="W44" i="30"/>
  <c r="AQ44" i="30"/>
  <c r="AA44" i="30"/>
  <c r="S44" i="30"/>
  <c r="AG44" i="30"/>
  <c r="Q44" i="30" l="1"/>
  <c r="AJ44" i="30" s="1"/>
  <c r="AW45" i="30"/>
  <c r="S45" i="30"/>
  <c r="AV45" i="30"/>
  <c r="AQ45" i="30"/>
  <c r="AF45" i="30"/>
  <c r="V45" i="30"/>
  <c r="AO45" i="30"/>
  <c r="X45" i="30"/>
  <c r="Z45" i="30"/>
  <c r="AE45" i="30"/>
  <c r="AB45" i="30"/>
  <c r="AP45" i="30"/>
  <c r="AG45" i="30"/>
  <c r="AS45" i="30"/>
  <c r="AD45" i="30"/>
  <c r="AZ45" i="30"/>
  <c r="AN45" i="30"/>
  <c r="AC45" i="30"/>
  <c r="AM45" i="30"/>
  <c r="R45" i="30"/>
  <c r="AU45" i="30"/>
  <c r="AY45" i="30"/>
  <c r="T45" i="30"/>
  <c r="AT45" i="30"/>
  <c r="W45" i="30"/>
  <c r="AL45" i="30"/>
  <c r="AA45" i="30"/>
  <c r="U45" i="30"/>
  <c r="AK45" i="30"/>
  <c r="AR45" i="30"/>
  <c r="Y45" i="30"/>
  <c r="AX45" i="30"/>
  <c r="Q45" i="30" l="1"/>
  <c r="AJ45" i="30" s="1"/>
  <c r="AP46" i="30"/>
  <c r="V46" i="30"/>
  <c r="AG46" i="30"/>
  <c r="AE46" i="30"/>
  <c r="AW46" i="30"/>
  <c r="Y46" i="30"/>
  <c r="AD46" i="30"/>
  <c r="AM46" i="30"/>
  <c r="AT46" i="30"/>
  <c r="AL46" i="30"/>
  <c r="U46" i="30"/>
  <c r="AB46" i="30"/>
  <c r="AA46" i="30"/>
  <c r="AR46" i="30"/>
  <c r="W46" i="30"/>
  <c r="S46" i="30"/>
  <c r="AO46" i="30"/>
  <c r="T46" i="30"/>
  <c r="AQ46" i="30"/>
  <c r="AZ46" i="30"/>
  <c r="AN46" i="30"/>
  <c r="AS46" i="30"/>
  <c r="AF46" i="30"/>
  <c r="AC46" i="30"/>
  <c r="AY46" i="30"/>
  <c r="AK46" i="30"/>
  <c r="AV46" i="30"/>
  <c r="AU46" i="30"/>
  <c r="Z46" i="30"/>
  <c r="X46" i="30"/>
  <c r="AX46" i="30"/>
  <c r="R46" i="30"/>
  <c r="Q46" i="30" l="1"/>
  <c r="AJ46" i="30" s="1"/>
  <c r="S47" i="30"/>
  <c r="AY47" i="30"/>
  <c r="AC47" i="30"/>
  <c r="X47" i="30"/>
  <c r="V47" i="30"/>
  <c r="Z47" i="30"/>
  <c r="AU47" i="30"/>
  <c r="AN47" i="30"/>
  <c r="T47" i="30"/>
  <c r="AM47" i="30"/>
  <c r="W47" i="30"/>
  <c r="AF47" i="30"/>
  <c r="AW47" i="30"/>
  <c r="AV47" i="30"/>
  <c r="AD47" i="30"/>
  <c r="AG47" i="30"/>
  <c r="AZ47" i="30"/>
  <c r="AQ47" i="30"/>
  <c r="AP47" i="30"/>
  <c r="AE47" i="30"/>
  <c r="R47" i="30"/>
  <c r="AX47" i="30"/>
  <c r="AT47" i="30"/>
  <c r="U47" i="30"/>
  <c r="AO47" i="30"/>
  <c r="AB47" i="30"/>
  <c r="AL47" i="30"/>
  <c r="Y47" i="30"/>
  <c r="AR47" i="30"/>
  <c r="AK47" i="30"/>
  <c r="AS47" i="30"/>
  <c r="AA47" i="30"/>
  <c r="Q47" i="30" l="1"/>
  <c r="AJ47" i="30" s="1"/>
  <c r="AZ48" i="30"/>
  <c r="AD48" i="30"/>
  <c r="AU48" i="30"/>
  <c r="AQ48" i="30"/>
  <c r="AS48" i="30"/>
  <c r="V48" i="30"/>
  <c r="AB48" i="30"/>
  <c r="AK48" i="30"/>
  <c r="AO48" i="30"/>
  <c r="AP48" i="30"/>
  <c r="AX48" i="30"/>
  <c r="AC48" i="30"/>
  <c r="AV48" i="30"/>
  <c r="S48" i="30"/>
  <c r="Z48" i="30"/>
  <c r="R48" i="30"/>
  <c r="AN48" i="30"/>
  <c r="Y48" i="30"/>
  <c r="X48" i="30"/>
  <c r="AA48" i="30"/>
  <c r="W48" i="30"/>
  <c r="AG48" i="30"/>
  <c r="T48" i="30"/>
  <c r="AY48" i="30"/>
  <c r="AW48" i="30"/>
  <c r="AR48" i="30"/>
  <c r="U48" i="30"/>
  <c r="AL48" i="30"/>
  <c r="AE48" i="30"/>
  <c r="AF48" i="30"/>
  <c r="AM48" i="30"/>
  <c r="AT48" i="30"/>
  <c r="Q48" i="30" l="1"/>
  <c r="AJ48" i="30" s="1"/>
  <c r="W49" i="30"/>
  <c r="AV49" i="30"/>
  <c r="AE49" i="30"/>
  <c r="AC49" i="30"/>
  <c r="U49" i="30"/>
  <c r="AD49" i="30"/>
  <c r="R49" i="30"/>
  <c r="AO49" i="30"/>
  <c r="AX49" i="30"/>
  <c r="AT49" i="30"/>
  <c r="AB49" i="30"/>
  <c r="AK49" i="30"/>
  <c r="AG49" i="30"/>
  <c r="AY49" i="30"/>
  <c r="AQ49" i="30"/>
  <c r="V49" i="30"/>
  <c r="AP49" i="30"/>
  <c r="AU49" i="30"/>
  <c r="Y49" i="30"/>
  <c r="AW49" i="30"/>
  <c r="AN49" i="30"/>
  <c r="AR49" i="30"/>
  <c r="AM49" i="30"/>
  <c r="AF49" i="30"/>
  <c r="AZ49" i="30"/>
  <c r="AS49" i="30"/>
  <c r="T49" i="30"/>
  <c r="Z49" i="30"/>
  <c r="X49" i="30"/>
  <c r="S49" i="30"/>
  <c r="AL49" i="30"/>
  <c r="AA49" i="30"/>
  <c r="Q49" i="30" l="1"/>
  <c r="AJ49" i="30" s="1"/>
  <c r="Y50" i="30"/>
  <c r="AE50" i="30"/>
  <c r="AN50" i="30"/>
  <c r="AS50" i="30"/>
  <c r="AQ50" i="30"/>
  <c r="AF50" i="30"/>
  <c r="AT50" i="30"/>
  <c r="AZ50" i="30"/>
  <c r="S50" i="30"/>
  <c r="AL50" i="30"/>
  <c r="AC50" i="30"/>
  <c r="U50" i="30"/>
  <c r="AX50" i="30"/>
  <c r="AK50" i="30"/>
  <c r="Z50" i="30"/>
  <c r="AY50" i="30"/>
  <c r="AU50" i="30"/>
  <c r="T50" i="30"/>
  <c r="W50" i="30"/>
  <c r="X50" i="30"/>
  <c r="AB50" i="30"/>
  <c r="AP50" i="30"/>
  <c r="AR50" i="30"/>
  <c r="AO50" i="30"/>
  <c r="AM50" i="30"/>
  <c r="V50" i="30"/>
  <c r="AG50" i="30"/>
  <c r="R50" i="30"/>
  <c r="AD50" i="30"/>
  <c r="AA50" i="30"/>
  <c r="AV50" i="30"/>
  <c r="AW50" i="30"/>
  <c r="Q50" i="30" l="1"/>
  <c r="AJ50" i="30" s="1"/>
  <c r="AO51" i="30"/>
  <c r="AD51" i="30"/>
  <c r="AZ51" i="30"/>
  <c r="Z51" i="30"/>
  <c r="AP51" i="30"/>
  <c r="AW51" i="30"/>
  <c r="AA51" i="30"/>
  <c r="AK51" i="30"/>
  <c r="AN51" i="30"/>
  <c r="AF51" i="30"/>
  <c r="AG51" i="30"/>
  <c r="AV51" i="30"/>
  <c r="AC51" i="30"/>
  <c r="R51" i="30"/>
  <c r="X51" i="30"/>
  <c r="AM51" i="30"/>
  <c r="AB51" i="30"/>
  <c r="T51" i="30"/>
  <c r="AU51" i="30"/>
  <c r="S51" i="30"/>
  <c r="AR51" i="30"/>
  <c r="Y51" i="30"/>
  <c r="V51" i="30"/>
  <c r="W51" i="30"/>
  <c r="AQ51" i="30"/>
  <c r="AL51" i="30"/>
  <c r="U51" i="30"/>
  <c r="AX51" i="30"/>
  <c r="AS51" i="30"/>
  <c r="AE51" i="30"/>
  <c r="AT51" i="30"/>
  <c r="AY51" i="30"/>
  <c r="Q51" i="30" l="1"/>
  <c r="AJ51" i="30" s="1"/>
  <c r="AY52" i="30"/>
  <c r="AW52" i="30"/>
  <c r="Z52" i="30"/>
  <c r="AV52" i="30"/>
  <c r="R52" i="30"/>
  <c r="Y52" i="30"/>
  <c r="AF52" i="30"/>
  <c r="T52" i="30"/>
  <c r="AA52" i="30"/>
  <c r="AB52" i="30"/>
  <c r="AX52" i="30"/>
  <c r="AT52" i="30"/>
  <c r="AP52" i="30"/>
  <c r="AE52" i="30"/>
  <c r="AG52" i="30"/>
  <c r="AC52" i="30"/>
  <c r="AR52" i="30"/>
  <c r="AD52" i="30"/>
  <c r="AZ52" i="30"/>
  <c r="AL52" i="30"/>
  <c r="AU52" i="30"/>
  <c r="U52" i="30"/>
  <c r="AS52" i="30"/>
  <c r="AO52" i="30"/>
  <c r="S52" i="30"/>
  <c r="W52" i="30"/>
  <c r="AK52" i="30"/>
  <c r="AM52" i="30"/>
  <c r="AQ52" i="30"/>
  <c r="V52" i="30"/>
  <c r="AN52" i="30"/>
  <c r="X52" i="30"/>
  <c r="Q52" i="30" l="1"/>
  <c r="AJ52" i="30" s="1"/>
  <c r="AT53" i="30"/>
  <c r="AY53" i="30"/>
  <c r="S53" i="30"/>
  <c r="U53" i="30"/>
  <c r="AF53" i="30"/>
  <c r="AQ53" i="30"/>
  <c r="AX53" i="30"/>
  <c r="AN53" i="30"/>
  <c r="Z53" i="30"/>
  <c r="Y53" i="30"/>
  <c r="AS53" i="30"/>
  <c r="R53" i="30"/>
  <c r="AE53" i="30"/>
  <c r="T53" i="30"/>
  <c r="AU53" i="30"/>
  <c r="AW53" i="30"/>
  <c r="AL53" i="30"/>
  <c r="V53" i="30"/>
  <c r="AC53" i="30"/>
  <c r="AV53" i="30"/>
  <c r="AK53" i="30"/>
  <c r="AA53" i="30"/>
  <c r="AP53" i="30"/>
  <c r="AO53" i="30"/>
  <c r="AM53" i="30"/>
  <c r="AG53" i="30"/>
  <c r="AZ53" i="30"/>
  <c r="AR53" i="30"/>
  <c r="AB53" i="30"/>
  <c r="W53" i="30"/>
  <c r="AD53" i="30"/>
  <c r="X53" i="30"/>
  <c r="Q53" i="30" l="1"/>
  <c r="AJ53" i="30" s="1"/>
  <c r="AR54" i="30"/>
  <c r="AP54" i="30"/>
  <c r="AG54" i="30"/>
  <c r="V54" i="30"/>
  <c r="AF54" i="30"/>
  <c r="AY54" i="30"/>
  <c r="X54" i="30"/>
  <c r="AL54" i="30"/>
  <c r="AQ54" i="30"/>
  <c r="R54" i="30"/>
  <c r="AD54" i="30"/>
  <c r="AV54" i="30"/>
  <c r="Y54" i="30"/>
  <c r="AW54" i="30"/>
  <c r="AE54" i="30"/>
  <c r="AO54" i="30"/>
  <c r="AZ54" i="30"/>
  <c r="AA54" i="30"/>
  <c r="AX54" i="30"/>
  <c r="AU54" i="30"/>
  <c r="AK54" i="30"/>
  <c r="U54" i="30"/>
  <c r="AB54" i="30"/>
  <c r="AS54" i="30"/>
  <c r="S54" i="30"/>
  <c r="Z54" i="30"/>
  <c r="T54" i="30"/>
  <c r="AT54" i="30"/>
  <c r="AC54" i="30"/>
  <c r="AM54" i="30"/>
  <c r="AN54" i="30"/>
  <c r="W54" i="30"/>
  <c r="Q54" i="30" l="1"/>
  <c r="AJ54" i="30" s="1"/>
  <c r="AE55" i="30"/>
  <c r="AD55" i="30"/>
  <c r="AU55" i="30"/>
  <c r="AZ55" i="30"/>
  <c r="Z55" i="30"/>
  <c r="AY55" i="30"/>
  <c r="T55" i="30"/>
  <c r="Y55" i="30"/>
  <c r="V55" i="30"/>
  <c r="AO55" i="30"/>
  <c r="U55" i="30"/>
  <c r="AA55" i="30"/>
  <c r="AR55" i="30"/>
  <c r="AG55" i="30"/>
  <c r="AB55" i="30"/>
  <c r="AQ55" i="30"/>
  <c r="AX55" i="30"/>
  <c r="AF55" i="30"/>
  <c r="AC55" i="30"/>
  <c r="S55" i="30"/>
  <c r="AL55" i="30"/>
  <c r="R55" i="30"/>
  <c r="AV55" i="30"/>
  <c r="W55" i="30"/>
  <c r="X55" i="30"/>
  <c r="AN55" i="30"/>
  <c r="AT55" i="30"/>
  <c r="AP55" i="30"/>
  <c r="AW55" i="30"/>
  <c r="AK55" i="30"/>
  <c r="AS55" i="30"/>
  <c r="AM55" i="30"/>
  <c r="Q55" i="30" l="1"/>
  <c r="AJ55" i="30" s="1"/>
  <c r="AG56" i="30"/>
  <c r="AP56" i="30"/>
  <c r="AU56" i="30"/>
  <c r="AS56" i="30"/>
  <c r="Y56" i="30"/>
  <c r="AO56" i="30"/>
  <c r="U56" i="30"/>
  <c r="Z56" i="30"/>
  <c r="AQ56" i="30"/>
  <c r="AR56" i="30"/>
  <c r="AC56" i="30"/>
  <c r="AY56" i="30"/>
  <c r="AB56" i="30"/>
  <c r="AE56" i="30"/>
  <c r="AD56" i="30"/>
  <c r="AK56" i="30"/>
  <c r="T56" i="30"/>
  <c r="AW56" i="30"/>
  <c r="X56" i="30"/>
  <c r="AX56" i="30"/>
  <c r="AF56" i="30"/>
  <c r="AA56" i="30"/>
  <c r="AM56" i="30"/>
  <c r="V56" i="30"/>
  <c r="R56" i="30"/>
  <c r="S56" i="30"/>
  <c r="AT56" i="30"/>
  <c r="AL56" i="30"/>
  <c r="AN56" i="30"/>
  <c r="W56" i="30"/>
  <c r="AZ56" i="30"/>
  <c r="AV56" i="30"/>
  <c r="Q56" i="30" l="1"/>
  <c r="AJ56" i="30" s="1"/>
  <c r="AO57" i="30"/>
  <c r="AT57" i="30"/>
  <c r="AA57" i="30"/>
  <c r="S57" i="30"/>
  <c r="AX57" i="30"/>
  <c r="R57" i="30"/>
  <c r="AU57" i="30"/>
  <c r="X57" i="30"/>
  <c r="AK57" i="30"/>
  <c r="AE57" i="30"/>
  <c r="AS57" i="30"/>
  <c r="AQ57" i="30"/>
  <c r="T57" i="30"/>
  <c r="AY57" i="30"/>
  <c r="Z57" i="30"/>
  <c r="AL57" i="30"/>
  <c r="AG57" i="30"/>
  <c r="AN57" i="30"/>
  <c r="Y57" i="30"/>
  <c r="AP57" i="30"/>
  <c r="AW57" i="30"/>
  <c r="V57" i="30"/>
  <c r="AR57" i="30"/>
  <c r="U57" i="30"/>
  <c r="AF57" i="30"/>
  <c r="W57" i="30"/>
  <c r="AC57" i="30"/>
  <c r="AV57" i="30"/>
  <c r="AZ57" i="30"/>
  <c r="AM57" i="30"/>
  <c r="AD57" i="30"/>
  <c r="AB57" i="30"/>
  <c r="Q57" i="30" l="1"/>
  <c r="AJ57" i="30" s="1"/>
  <c r="AP58" i="30"/>
  <c r="T58" i="30"/>
  <c r="AQ58" i="30"/>
  <c r="AD58" i="30"/>
  <c r="AC58" i="30"/>
  <c r="AN58" i="30"/>
  <c r="AU58" i="30"/>
  <c r="R58" i="30"/>
  <c r="AK58" i="30"/>
  <c r="AY58" i="30"/>
  <c r="X58" i="30"/>
  <c r="AS58" i="30"/>
  <c r="AF58" i="30"/>
  <c r="S58" i="30"/>
  <c r="U58" i="30"/>
  <c r="AM58" i="30"/>
  <c r="AE58" i="30"/>
  <c r="AZ58" i="30"/>
  <c r="AG58" i="30"/>
  <c r="AT58" i="30"/>
  <c r="AL58" i="30"/>
  <c r="AW58" i="30"/>
  <c r="Y58" i="30"/>
  <c r="AX58" i="30"/>
  <c r="AB58" i="30"/>
  <c r="Z58" i="30"/>
  <c r="AA58" i="30"/>
  <c r="AO58" i="30"/>
  <c r="AV58" i="30"/>
  <c r="AR58" i="30"/>
  <c r="W58" i="30"/>
  <c r="V58" i="30"/>
  <c r="Q58" i="30" l="1"/>
  <c r="AJ58" i="30" s="1"/>
  <c r="AF59" i="30"/>
  <c r="AK59" i="30"/>
  <c r="AA59" i="30"/>
  <c r="AZ59" i="30"/>
  <c r="AS59" i="30"/>
  <c r="AR59" i="30"/>
  <c r="Z59" i="30"/>
  <c r="X59" i="30"/>
  <c r="AV59" i="30"/>
  <c r="Y59" i="30"/>
  <c r="AO59" i="30"/>
  <c r="T59" i="30"/>
  <c r="R59" i="30"/>
  <c r="S59" i="30"/>
  <c r="AM59" i="30"/>
  <c r="AW59" i="30"/>
  <c r="W59" i="30"/>
  <c r="AG59" i="30"/>
  <c r="AY59" i="30"/>
  <c r="AP59" i="30"/>
  <c r="AT59" i="30"/>
  <c r="AX59" i="30"/>
  <c r="AE59" i="30"/>
  <c r="AQ59" i="30"/>
  <c r="V59" i="30"/>
  <c r="AL59" i="30"/>
  <c r="U59" i="30"/>
  <c r="AC59" i="30"/>
  <c r="AD59" i="30"/>
  <c r="AN59" i="30"/>
  <c r="AU59" i="30"/>
  <c r="AB59" i="30"/>
  <c r="Q59" i="30" l="1"/>
  <c r="AJ59" i="30" s="1"/>
  <c r="AF60" i="30"/>
  <c r="AN60" i="30"/>
  <c r="R60" i="30"/>
  <c r="AB60" i="30"/>
  <c r="AS60" i="30"/>
  <c r="AR60" i="30"/>
  <c r="AA60" i="30"/>
  <c r="AL60" i="30"/>
  <c r="AV60" i="30"/>
  <c r="AX60" i="30"/>
  <c r="S60" i="30"/>
  <c r="AQ60" i="30"/>
  <c r="W60" i="30"/>
  <c r="AZ60" i="30"/>
  <c r="Z60" i="30"/>
  <c r="AT60" i="30"/>
  <c r="U60" i="30"/>
  <c r="AD60" i="30"/>
  <c r="AE60" i="30"/>
  <c r="AC60" i="30"/>
  <c r="AY60" i="30"/>
  <c r="AW60" i="30"/>
  <c r="Y60" i="30"/>
  <c r="AK60" i="30"/>
  <c r="AG60" i="30"/>
  <c r="T60" i="30"/>
  <c r="AU60" i="30"/>
  <c r="AM60" i="30"/>
  <c r="AO60" i="30"/>
  <c r="X60" i="30"/>
  <c r="AP60" i="30"/>
  <c r="V60" i="30"/>
  <c r="Q60" i="30" l="1"/>
  <c r="AJ60" i="30" s="1"/>
  <c r="AD61" i="30"/>
  <c r="AE61" i="30"/>
  <c r="AX61" i="30"/>
  <c r="AW61" i="30"/>
  <c r="AN61" i="30"/>
  <c r="AU61" i="30"/>
  <c r="AB61" i="30"/>
  <c r="V61" i="30"/>
  <c r="Z61" i="30"/>
  <c r="AZ61" i="30"/>
  <c r="Y61" i="30"/>
  <c r="AC61" i="30"/>
  <c r="W61" i="30"/>
  <c r="AK61" i="30"/>
  <c r="R61" i="30"/>
  <c r="X61" i="30"/>
  <c r="AG61" i="30"/>
  <c r="AF61" i="30"/>
  <c r="AO61" i="30"/>
  <c r="AT61" i="30"/>
  <c r="AQ61" i="30"/>
  <c r="U61" i="30"/>
  <c r="AY61" i="30"/>
  <c r="AL61" i="30"/>
  <c r="AR61" i="30"/>
  <c r="AV61" i="30"/>
  <c r="AS61" i="30"/>
  <c r="AP61" i="30"/>
  <c r="S61" i="30"/>
  <c r="AM61" i="30"/>
  <c r="T61" i="30"/>
  <c r="AA61" i="30"/>
  <c r="Q61" i="30" l="1"/>
  <c r="AJ61" i="30" s="1"/>
  <c r="AY62" i="30"/>
  <c r="X62" i="30"/>
  <c r="AR62" i="30"/>
  <c r="AT62" i="30"/>
  <c r="AM62" i="30"/>
  <c r="AF62" i="30"/>
  <c r="W62" i="30"/>
  <c r="AE62" i="30"/>
  <c r="AD62" i="30"/>
  <c r="AZ62" i="30"/>
  <c r="AW62" i="30"/>
  <c r="Z62" i="30"/>
  <c r="AN62" i="30"/>
  <c r="R62" i="30"/>
  <c r="AB62" i="30"/>
  <c r="AV62" i="30"/>
  <c r="AO62" i="30"/>
  <c r="AL62" i="30"/>
  <c r="AG62" i="30"/>
  <c r="AK62" i="30"/>
  <c r="AA62" i="30"/>
  <c r="AS62" i="30"/>
  <c r="AQ62" i="30"/>
  <c r="AC62" i="30"/>
  <c r="S62" i="30"/>
  <c r="T62" i="30"/>
  <c r="AX62" i="30"/>
  <c r="AP62" i="30"/>
  <c r="AU62" i="30"/>
  <c r="U62" i="30"/>
  <c r="V62" i="30"/>
  <c r="Y62" i="30"/>
  <c r="Q62" i="30" l="1"/>
  <c r="AJ62" i="30" s="1"/>
  <c r="AG63" i="30"/>
  <c r="U63" i="30"/>
  <c r="AX63" i="30"/>
  <c r="AT63" i="30"/>
  <c r="W63" i="30"/>
  <c r="AM63" i="30"/>
  <c r="S63" i="30"/>
  <c r="AV63" i="30"/>
  <c r="AO63" i="30"/>
  <c r="AS63" i="30"/>
  <c r="V63" i="30"/>
  <c r="AW63" i="30"/>
  <c r="AU63" i="30"/>
  <c r="R63" i="30"/>
  <c r="T63" i="30"/>
  <c r="AF63" i="30"/>
  <c r="AK63" i="30"/>
  <c r="AD63" i="30"/>
  <c r="Y63" i="30"/>
  <c r="AL63" i="30"/>
  <c r="AR63" i="30"/>
  <c r="AB63" i="30"/>
  <c r="AY63" i="30"/>
  <c r="AZ63" i="30"/>
  <c r="AP63" i="30"/>
  <c r="AA63" i="30"/>
  <c r="AC63" i="30"/>
  <c r="AE63" i="30"/>
  <c r="AN63" i="30"/>
  <c r="AQ63" i="30"/>
  <c r="Z63" i="30"/>
  <c r="X63" i="30"/>
  <c r="Q63" i="30" l="1"/>
  <c r="AJ63" i="30" s="1"/>
  <c r="AW64" i="30"/>
  <c r="AF64" i="30"/>
  <c r="T64" i="30"/>
  <c r="AL64" i="30"/>
  <c r="AS64" i="30"/>
  <c r="AO64" i="30"/>
  <c r="AZ64" i="30"/>
  <c r="AQ64" i="30"/>
  <c r="AB64" i="30"/>
  <c r="R64" i="30"/>
  <c r="AV64" i="30"/>
  <c r="X64" i="30"/>
  <c r="Z64" i="30"/>
  <c r="AD64" i="30"/>
  <c r="AA64" i="30"/>
  <c r="AX64" i="30"/>
  <c r="AT64" i="30"/>
  <c r="AC64" i="30"/>
  <c r="AE64" i="30"/>
  <c r="AM64" i="30"/>
  <c r="AP64" i="30"/>
  <c r="AN64" i="30"/>
  <c r="W64" i="30"/>
  <c r="S64" i="30"/>
  <c r="U64" i="30"/>
  <c r="AU64" i="30"/>
  <c r="AG64" i="30"/>
  <c r="AY64" i="30"/>
  <c r="Y64" i="30"/>
  <c r="AR64" i="30"/>
  <c r="AK64" i="30"/>
  <c r="V64" i="30"/>
  <c r="Q64" i="30" l="1"/>
  <c r="AJ64" i="30" s="1"/>
  <c r="AZ65" i="30"/>
  <c r="AR65" i="30"/>
  <c r="AQ65" i="30"/>
  <c r="V65" i="30"/>
  <c r="AF65" i="30"/>
  <c r="X65" i="30"/>
  <c r="AD65" i="30"/>
  <c r="AA65" i="30"/>
  <c r="AN65" i="30"/>
  <c r="AE65" i="30"/>
  <c r="AT65" i="30"/>
  <c r="S65" i="30"/>
  <c r="T65" i="30"/>
  <c r="AO65" i="30"/>
  <c r="AP65" i="30"/>
  <c r="AM65" i="30"/>
  <c r="AW65" i="30"/>
  <c r="Z65" i="30"/>
  <c r="AV65" i="30"/>
  <c r="AK65" i="30"/>
  <c r="R65" i="30"/>
  <c r="AX65" i="30"/>
  <c r="W65" i="30"/>
  <c r="AC65" i="30"/>
  <c r="AY65" i="30"/>
  <c r="AS65" i="30"/>
  <c r="AU65" i="30"/>
  <c r="AL65" i="30"/>
  <c r="U65" i="30"/>
  <c r="Y65" i="30"/>
  <c r="AB65" i="30"/>
  <c r="AG65" i="30"/>
  <c r="Q65" i="30" l="1"/>
  <c r="AJ65" i="30" s="1"/>
  <c r="T66" i="30"/>
  <c r="AR66" i="30"/>
  <c r="AZ66" i="30"/>
  <c r="AS66" i="30"/>
  <c r="X66" i="30"/>
  <c r="AU66" i="30"/>
  <c r="AV66" i="30"/>
  <c r="AG66" i="30"/>
  <c r="AE66" i="30"/>
  <c r="AY66" i="30"/>
  <c r="AC66" i="30"/>
  <c r="R66" i="30"/>
  <c r="AF66" i="30"/>
  <c r="Z66" i="30"/>
  <c r="AK66" i="30"/>
  <c r="AB66" i="30"/>
  <c r="AN66" i="30"/>
  <c r="AW66" i="30"/>
  <c r="V66" i="30"/>
  <c r="AD66" i="30"/>
  <c r="AL66" i="30"/>
  <c r="W66" i="30"/>
  <c r="AM66" i="30"/>
  <c r="S66" i="30"/>
  <c r="AO66" i="30"/>
  <c r="AP66" i="30"/>
  <c r="AA66" i="30"/>
  <c r="AQ66" i="30"/>
  <c r="U66" i="30"/>
  <c r="AX66" i="30"/>
  <c r="Y66" i="30"/>
  <c r="AT66" i="30"/>
  <c r="Q66" i="30" l="1"/>
  <c r="AJ66" i="30" s="1"/>
  <c r="AZ67" i="30"/>
  <c r="AG67" i="30"/>
  <c r="AE67" i="30"/>
  <c r="U67" i="30"/>
  <c r="AF67" i="30"/>
  <c r="Z67" i="30"/>
  <c r="AX67" i="30"/>
  <c r="AB67" i="30"/>
  <c r="W67" i="30"/>
  <c r="AK67" i="30"/>
  <c r="AY67" i="30"/>
  <c r="AM67" i="30"/>
  <c r="AR67" i="30"/>
  <c r="S67" i="30"/>
  <c r="AT67" i="30"/>
  <c r="AQ67" i="30"/>
  <c r="AU67" i="30"/>
  <c r="AA67" i="30"/>
  <c r="AW67" i="30"/>
  <c r="AV67" i="30"/>
  <c r="R67" i="30"/>
  <c r="T67" i="30"/>
  <c r="AL67" i="30"/>
  <c r="AD67" i="30"/>
  <c r="X67" i="30"/>
  <c r="V67" i="30"/>
  <c r="AC67" i="30"/>
  <c r="AS67" i="30"/>
  <c r="Y67" i="30"/>
  <c r="AO67" i="30"/>
  <c r="AP67" i="30"/>
  <c r="AN67" i="30"/>
  <c r="Q67" i="30" l="1"/>
  <c r="AJ67" i="30" s="1"/>
  <c r="AZ68" i="30"/>
  <c r="V68" i="30"/>
  <c r="AO68" i="30"/>
  <c r="AS68" i="30"/>
  <c r="Z68" i="30"/>
  <c r="AT68" i="30"/>
  <c r="AK68" i="30"/>
  <c r="AN68" i="30"/>
  <c r="S68" i="30"/>
  <c r="AY68" i="30"/>
  <c r="AE68" i="30"/>
  <c r="AA68" i="30"/>
  <c r="AQ68" i="30"/>
  <c r="AV68" i="30"/>
  <c r="AR68" i="30"/>
  <c r="AG68" i="30"/>
  <c r="AL68" i="30"/>
  <c r="AM68" i="30"/>
  <c r="AW68" i="30"/>
  <c r="AP68" i="30"/>
  <c r="X68" i="30"/>
  <c r="W68" i="30"/>
  <c r="AB68" i="30"/>
  <c r="AC68" i="30"/>
  <c r="AU68" i="30"/>
  <c r="U68" i="30"/>
  <c r="AF68" i="30"/>
  <c r="T68" i="30"/>
  <c r="AD68" i="30"/>
  <c r="Y68" i="30"/>
  <c r="AX68" i="30"/>
  <c r="R68" i="30"/>
  <c r="Q68" i="30" l="1"/>
  <c r="AJ68" i="30" s="1"/>
  <c r="AK69" i="30"/>
  <c r="AW69" i="30"/>
  <c r="Y69" i="30"/>
  <c r="AC69" i="30"/>
  <c r="AR69" i="30"/>
  <c r="R69" i="30"/>
  <c r="AL69" i="30"/>
  <c r="W69" i="30"/>
  <c r="AE69" i="30"/>
  <c r="X69" i="30"/>
  <c r="AO69" i="30"/>
  <c r="AP69" i="30"/>
  <c r="U69" i="30"/>
  <c r="AF69" i="30"/>
  <c r="AB69" i="30"/>
  <c r="AA69" i="30"/>
  <c r="AM69" i="30"/>
  <c r="AT69" i="30"/>
  <c r="S69" i="30"/>
  <c r="AV69" i="30"/>
  <c r="AN69" i="30"/>
  <c r="AX69" i="30"/>
  <c r="AD69" i="30"/>
  <c r="AY69" i="30"/>
  <c r="AU69" i="30"/>
  <c r="AG69" i="30"/>
  <c r="T69" i="30"/>
  <c r="AZ69" i="30"/>
  <c r="AS69" i="30"/>
  <c r="Z69" i="30"/>
  <c r="AQ69" i="30"/>
  <c r="V69" i="30"/>
  <c r="Q69" i="30" l="1"/>
  <c r="AJ69" i="30" s="1"/>
  <c r="AU70" i="30"/>
  <c r="AM70" i="30"/>
  <c r="AW70" i="30"/>
  <c r="W70" i="30"/>
  <c r="AL70" i="30"/>
  <c r="X70" i="30"/>
  <c r="U70" i="30"/>
  <c r="AZ70" i="30"/>
  <c r="AD70" i="30"/>
  <c r="AA70" i="30"/>
  <c r="AE70" i="30"/>
  <c r="Z70" i="30"/>
  <c r="V70" i="30"/>
  <c r="AO70" i="30"/>
  <c r="AF70" i="30"/>
  <c r="AT70" i="30"/>
  <c r="R70" i="30"/>
  <c r="AN70" i="30"/>
  <c r="AX70" i="30"/>
  <c r="AB70" i="30"/>
  <c r="AV70" i="30"/>
  <c r="AY70" i="30"/>
  <c r="AQ70" i="30"/>
  <c r="T70" i="30"/>
  <c r="Y70" i="30"/>
  <c r="S70" i="30"/>
  <c r="AS70" i="30"/>
  <c r="AC70" i="30"/>
  <c r="AR70" i="30"/>
  <c r="AP70" i="30"/>
  <c r="AG70" i="30"/>
  <c r="AK70" i="30"/>
  <c r="Q70" i="30" l="1"/>
  <c r="AJ70" i="30" s="1"/>
  <c r="X71" i="30"/>
  <c r="AM71" i="30"/>
  <c r="AZ71" i="30"/>
  <c r="AL71" i="30"/>
  <c r="S71" i="30"/>
  <c r="AE71" i="30"/>
  <c r="AS71" i="30"/>
  <c r="AW71" i="30"/>
  <c r="AG71" i="30"/>
  <c r="AT71" i="30"/>
  <c r="AD71" i="30"/>
  <c r="AY71" i="30"/>
  <c r="AU71" i="30"/>
  <c r="AA71" i="30"/>
  <c r="AB71" i="30"/>
  <c r="T71" i="30"/>
  <c r="AO71" i="30"/>
  <c r="AV71" i="30"/>
  <c r="Z71" i="30"/>
  <c r="U71" i="30"/>
  <c r="R71" i="30"/>
  <c r="AP71" i="30"/>
  <c r="AR71" i="30"/>
  <c r="AF71" i="30"/>
  <c r="AC71" i="30"/>
  <c r="AX71" i="30"/>
  <c r="AN71" i="30"/>
  <c r="AQ71" i="30"/>
  <c r="Y71" i="30"/>
  <c r="AK71" i="30"/>
  <c r="W71" i="30"/>
  <c r="V71" i="30"/>
  <c r="Q71" i="30" l="1"/>
  <c r="AJ71" i="30" s="1"/>
  <c r="AS72" i="30"/>
  <c r="AK72" i="30"/>
  <c r="AE72" i="30"/>
  <c r="AP72" i="30"/>
  <c r="AQ72" i="30"/>
  <c r="AR72" i="30"/>
  <c r="AM72" i="30"/>
  <c r="Z72" i="30"/>
  <c r="AF72" i="30"/>
  <c r="V72" i="30"/>
  <c r="Y72" i="30"/>
  <c r="AC72" i="30"/>
  <c r="AV72" i="30"/>
  <c r="AD72" i="30"/>
  <c r="AY72" i="30"/>
  <c r="AZ72" i="30"/>
  <c r="U72" i="30"/>
  <c r="T72" i="30"/>
  <c r="AL72" i="30"/>
  <c r="R72" i="30"/>
  <c r="AW72" i="30"/>
  <c r="W72" i="30"/>
  <c r="S72" i="30"/>
  <c r="AO72" i="30"/>
  <c r="AA72" i="30"/>
  <c r="AG72" i="30"/>
  <c r="AU72" i="30"/>
  <c r="AN72" i="30"/>
  <c r="AT72" i="30"/>
  <c r="AB72" i="30"/>
  <c r="AX72" i="30"/>
  <c r="X72" i="30"/>
  <c r="Q72" i="30" l="1"/>
  <c r="AJ72" i="30" s="1"/>
  <c r="Z73" i="30"/>
  <c r="AC73" i="30"/>
  <c r="AX73" i="30"/>
  <c r="AU73" i="30"/>
  <c r="W73" i="30"/>
  <c r="AP73" i="30"/>
  <c r="AF73" i="30"/>
  <c r="AY73" i="30"/>
  <c r="S73" i="30"/>
  <c r="V73" i="30"/>
  <c r="AV73" i="30"/>
  <c r="AQ73" i="30"/>
  <c r="AS73" i="30"/>
  <c r="AW73" i="30"/>
  <c r="AD73" i="30"/>
  <c r="AO73" i="30"/>
  <c r="AR73" i="30"/>
  <c r="AL73" i="30"/>
  <c r="X73" i="30"/>
  <c r="AG73" i="30"/>
  <c r="AB73" i="30"/>
  <c r="AK73" i="30"/>
  <c r="AE73" i="30"/>
  <c r="AN73" i="30"/>
  <c r="U73" i="30"/>
  <c r="AT73" i="30"/>
  <c r="R73" i="30"/>
  <c r="AM73" i="30"/>
  <c r="AZ73" i="30"/>
  <c r="Y73" i="30"/>
  <c r="AA73" i="30"/>
  <c r="T73" i="30"/>
  <c r="Q73" i="30" l="1"/>
  <c r="AJ73" i="30" s="1"/>
  <c r="AM74" i="30"/>
  <c r="R74" i="30"/>
  <c r="AR74" i="30"/>
  <c r="AB74" i="30"/>
  <c r="AF74" i="30"/>
  <c r="AQ74" i="30"/>
  <c r="AP74" i="30"/>
  <c r="AA74" i="30"/>
  <c r="V74" i="30"/>
  <c r="AE74" i="30"/>
  <c r="AO74" i="30"/>
  <c r="AV74" i="30"/>
  <c r="U74" i="30"/>
  <c r="S74" i="30"/>
  <c r="AK74" i="30"/>
  <c r="AL74" i="30"/>
  <c r="AS74" i="30"/>
  <c r="Z74" i="30"/>
  <c r="AX74" i="30"/>
  <c r="AN74" i="30"/>
  <c r="T74" i="30"/>
  <c r="AT74" i="30"/>
  <c r="AC74" i="30"/>
  <c r="AY74" i="30"/>
  <c r="AU74" i="30"/>
  <c r="AZ74" i="30"/>
  <c r="Y74" i="30"/>
  <c r="AG74" i="30"/>
  <c r="X74" i="30"/>
  <c r="W74" i="30"/>
  <c r="AD74" i="30"/>
  <c r="AW74" i="30"/>
  <c r="Q74" i="30" l="1"/>
  <c r="AJ74" i="30" s="1"/>
  <c r="AT75" i="30"/>
  <c r="S75" i="30"/>
  <c r="AR75" i="30"/>
  <c r="AQ75" i="30"/>
  <c r="AD75" i="30"/>
  <c r="AE75" i="30"/>
  <c r="X75" i="30"/>
  <c r="V75" i="30"/>
  <c r="AP75" i="30"/>
  <c r="U75" i="30"/>
  <c r="R75" i="30"/>
  <c r="T75" i="30"/>
  <c r="AG75" i="30"/>
  <c r="AA75" i="30"/>
  <c r="AW75" i="30"/>
  <c r="AU75" i="30"/>
  <c r="AB75" i="30"/>
  <c r="AV75" i="30"/>
  <c r="AL75" i="30"/>
  <c r="AF75" i="30"/>
  <c r="AO75" i="30"/>
  <c r="AN75" i="30"/>
  <c r="Y75" i="30"/>
  <c r="Z75" i="30"/>
  <c r="AM75" i="30"/>
  <c r="AC75" i="30"/>
  <c r="AK75" i="30"/>
  <c r="W75" i="30"/>
  <c r="AX75" i="30"/>
  <c r="AS75" i="30"/>
  <c r="AZ75" i="30"/>
  <c r="AY75" i="30"/>
  <c r="Q75" i="30" l="1"/>
  <c r="AJ75" i="30" s="1"/>
  <c r="AM76" i="30"/>
  <c r="AF76" i="30"/>
  <c r="AO76" i="30"/>
  <c r="AX76" i="30"/>
  <c r="X76" i="30"/>
  <c r="AL76" i="30"/>
  <c r="U76" i="30"/>
  <c r="R76" i="30"/>
  <c r="Y76" i="30"/>
  <c r="AG76" i="30"/>
  <c r="AZ76" i="30"/>
  <c r="AN76" i="30"/>
  <c r="Z76" i="30"/>
  <c r="AY76" i="30"/>
  <c r="AQ76" i="30"/>
  <c r="AV76" i="30"/>
  <c r="AP76" i="30"/>
  <c r="T76" i="30"/>
  <c r="AB76" i="30"/>
  <c r="AA76" i="30"/>
  <c r="S76" i="30"/>
  <c r="AK76" i="30"/>
  <c r="AS76" i="30"/>
  <c r="AW76" i="30"/>
  <c r="V76" i="30"/>
  <c r="AT76" i="30"/>
  <c r="AE76" i="30"/>
  <c r="AR76" i="30"/>
  <c r="W76" i="30"/>
  <c r="AD76" i="30"/>
  <c r="AU76" i="30"/>
  <c r="AC76" i="30"/>
  <c r="Q76" i="30" l="1"/>
  <c r="AJ76" i="30" s="1"/>
  <c r="AO77" i="30"/>
  <c r="AT77" i="30"/>
  <c r="R77" i="30"/>
  <c r="W77" i="30"/>
  <c r="Y77" i="30"/>
  <c r="S77" i="30"/>
  <c r="AM77" i="30"/>
  <c r="AR77" i="30"/>
  <c r="AX77" i="30"/>
  <c r="AS77" i="30"/>
  <c r="AL77" i="30"/>
  <c r="AG77" i="30"/>
  <c r="AF77" i="30"/>
  <c r="AY77" i="30"/>
  <c r="U77" i="30"/>
  <c r="X77" i="30"/>
  <c r="AE77" i="30"/>
  <c r="AW77" i="30"/>
  <c r="AZ77" i="30"/>
  <c r="AD77" i="30"/>
  <c r="Z77" i="30"/>
  <c r="T77" i="30"/>
  <c r="AN77" i="30"/>
  <c r="AC77" i="30"/>
  <c r="AQ77" i="30"/>
  <c r="AP77" i="30"/>
  <c r="V77" i="30"/>
  <c r="AB77" i="30"/>
  <c r="AA77" i="30"/>
  <c r="AU77" i="30"/>
  <c r="AK77" i="30"/>
  <c r="AV77" i="30"/>
  <c r="Q77" i="30" l="1"/>
  <c r="AJ77" i="30" s="1"/>
  <c r="AO78" i="30"/>
  <c r="AM78" i="30"/>
  <c r="R78" i="30"/>
  <c r="Y78" i="30"/>
  <c r="AN78" i="30"/>
  <c r="AY78" i="30"/>
  <c r="AP78" i="30"/>
  <c r="AS78" i="30"/>
  <c r="AW78" i="30"/>
  <c r="S78" i="30"/>
  <c r="AE78" i="30"/>
  <c r="AZ78" i="30"/>
  <c r="AT78" i="30"/>
  <c r="AV78" i="30"/>
  <c r="AC78" i="30"/>
  <c r="U78" i="30"/>
  <c r="AL78" i="30"/>
  <c r="AX78" i="30"/>
  <c r="AQ78" i="30"/>
  <c r="AF78" i="30"/>
  <c r="AU78" i="30"/>
  <c r="AA78" i="30"/>
  <c r="T78" i="30"/>
  <c r="W78" i="30"/>
  <c r="V78" i="30"/>
  <c r="Z78" i="30"/>
  <c r="X78" i="30"/>
  <c r="AD78" i="30"/>
  <c r="AK78" i="30"/>
  <c r="AB78" i="30"/>
  <c r="AR78" i="30"/>
  <c r="AG78" i="30"/>
  <c r="Q78" i="30" l="1"/>
  <c r="AJ78" i="30" s="1"/>
  <c r="T79" i="30"/>
  <c r="AR79" i="30"/>
  <c r="U79" i="30"/>
  <c r="R79" i="30"/>
  <c r="X79" i="30"/>
  <c r="AT79" i="30"/>
  <c r="AX79" i="30"/>
  <c r="AQ79" i="30"/>
  <c r="AG79" i="30"/>
  <c r="AW79" i="30"/>
  <c r="Z79" i="30"/>
  <c r="AS79" i="30"/>
  <c r="AE79" i="30"/>
  <c r="AZ79" i="30"/>
  <c r="AN79" i="30"/>
  <c r="W79" i="30"/>
  <c r="AV79" i="30"/>
  <c r="AM79" i="30"/>
  <c r="AK79" i="30"/>
  <c r="AF79" i="30"/>
  <c r="AP79" i="30"/>
  <c r="AO79" i="30"/>
  <c r="AU79" i="30"/>
  <c r="S79" i="30"/>
  <c r="Y79" i="30"/>
  <c r="AC79" i="30"/>
  <c r="AD79" i="30"/>
  <c r="AY79" i="30"/>
  <c r="AA79" i="30"/>
  <c r="V79" i="30"/>
  <c r="AB79" i="30"/>
  <c r="AL79" i="30"/>
  <c r="Q79" i="30" l="1"/>
  <c r="AJ79" i="30" s="1"/>
  <c r="AE80" i="30"/>
  <c r="AU80" i="30"/>
  <c r="AL80" i="30"/>
  <c r="AV80" i="30"/>
  <c r="Z80" i="30"/>
  <c r="AZ80" i="30"/>
  <c r="AD80" i="30"/>
  <c r="U80" i="30"/>
  <c r="X80" i="30"/>
  <c r="Y80" i="30"/>
  <c r="W80" i="30"/>
  <c r="AQ80" i="30"/>
  <c r="AR80" i="30"/>
  <c r="V80" i="30"/>
  <c r="AG80" i="30"/>
  <c r="AF80" i="30"/>
  <c r="AC80" i="30"/>
  <c r="AB80" i="30"/>
  <c r="AS80" i="30"/>
  <c r="AX80" i="30"/>
  <c r="AK80" i="30"/>
  <c r="T80" i="30"/>
  <c r="AM80" i="30"/>
  <c r="AN80" i="30"/>
  <c r="AT80" i="30"/>
  <c r="AW80" i="30"/>
  <c r="AA80" i="30"/>
  <c r="AP80" i="30"/>
  <c r="S80" i="30"/>
  <c r="AO80" i="30"/>
  <c r="R80" i="30"/>
  <c r="AY80" i="30"/>
  <c r="Q80" i="30" l="1"/>
  <c r="AJ80" i="30" s="1"/>
  <c r="AD81" i="30"/>
  <c r="AG81" i="30"/>
  <c r="AQ81" i="30"/>
  <c r="X81" i="30"/>
  <c r="Z81" i="30"/>
  <c r="AV81" i="30"/>
  <c r="U81" i="30"/>
  <c r="AL81" i="30"/>
  <c r="AP81" i="30"/>
  <c r="AF81" i="30"/>
  <c r="AZ81" i="30"/>
  <c r="AK81" i="30"/>
  <c r="AA81" i="30"/>
  <c r="AY81" i="30"/>
  <c r="AT81" i="30"/>
  <c r="AS81" i="30"/>
  <c r="AE81" i="30"/>
  <c r="R81" i="30"/>
  <c r="AU81" i="30"/>
  <c r="T81" i="30"/>
  <c r="S81" i="30"/>
  <c r="AX81" i="30"/>
  <c r="AW81" i="30"/>
  <c r="AR81" i="30"/>
  <c r="W81" i="30"/>
  <c r="AC81" i="30"/>
  <c r="Y81" i="30"/>
  <c r="AB81" i="30"/>
  <c r="AN81" i="30"/>
  <c r="AO81" i="30"/>
  <c r="V81" i="30"/>
  <c r="AM81" i="30"/>
  <c r="Q81" i="30" l="1"/>
  <c r="AJ81" i="30" s="1"/>
  <c r="AA82" i="30"/>
  <c r="AE82" i="30"/>
  <c r="AK82" i="30"/>
  <c r="AW82" i="30"/>
  <c r="AG82" i="30"/>
  <c r="AY82" i="30"/>
  <c r="X82" i="30"/>
  <c r="AB82" i="30"/>
  <c r="AQ82" i="30"/>
  <c r="AU82" i="30"/>
  <c r="AR82" i="30"/>
  <c r="AM82" i="30"/>
  <c r="AN82" i="30"/>
  <c r="AF82" i="30"/>
  <c r="AX82" i="30"/>
  <c r="AT82" i="30"/>
  <c r="AP82" i="30"/>
  <c r="AO82" i="30"/>
  <c r="Z82" i="30"/>
  <c r="S82" i="30"/>
  <c r="AZ82" i="30"/>
  <c r="V82" i="30"/>
  <c r="AC82" i="30"/>
  <c r="AD82" i="30"/>
  <c r="AV82" i="30"/>
  <c r="R82" i="30"/>
  <c r="W82" i="30"/>
  <c r="AS82" i="30"/>
  <c r="U82" i="30"/>
  <c r="T82" i="30"/>
  <c r="AL82" i="30"/>
  <c r="Y82" i="30"/>
  <c r="Q82" i="30" l="1"/>
  <c r="AJ82" i="30" s="1"/>
  <c r="AE83" i="30"/>
  <c r="Z83" i="30"/>
  <c r="AZ83" i="30"/>
  <c r="AA83" i="30"/>
  <c r="AK83" i="30"/>
  <c r="W83" i="30"/>
  <c r="AS83" i="30"/>
  <c r="AM83" i="30"/>
  <c r="AO83" i="30"/>
  <c r="U83" i="30"/>
  <c r="AN83" i="30"/>
  <c r="AX83" i="30"/>
  <c r="AY83" i="30"/>
  <c r="AB83" i="30"/>
  <c r="Y83" i="30"/>
  <c r="T83" i="30"/>
  <c r="AT83" i="30"/>
  <c r="AV83" i="30"/>
  <c r="AP83" i="30"/>
  <c r="AU83" i="30"/>
  <c r="AF83" i="30"/>
  <c r="AR83" i="30"/>
  <c r="AQ83" i="30"/>
  <c r="X83" i="30"/>
  <c r="S83" i="30"/>
  <c r="V83" i="30"/>
  <c r="AW83" i="30"/>
  <c r="R83" i="30"/>
  <c r="AG83" i="30"/>
  <c r="AC83" i="30"/>
  <c r="AD83" i="30"/>
  <c r="AL83" i="30"/>
  <c r="Q83" i="30" l="1"/>
  <c r="AJ83" i="30" s="1"/>
  <c r="AT84" i="30"/>
  <c r="Z84" i="30"/>
  <c r="R84" i="30"/>
  <c r="W84" i="30"/>
  <c r="AM84" i="30"/>
  <c r="AZ84" i="30"/>
  <c r="AK84" i="30"/>
  <c r="AX84" i="30"/>
  <c r="AO84" i="30"/>
  <c r="AR84" i="30"/>
  <c r="AA84" i="30"/>
  <c r="S84" i="30"/>
  <c r="AW84" i="30"/>
  <c r="AU84" i="30"/>
  <c r="T84" i="30"/>
  <c r="X84" i="30"/>
  <c r="AV84" i="30"/>
  <c r="AY84" i="30"/>
  <c r="AS84" i="30"/>
  <c r="AC84" i="30"/>
  <c r="AN84" i="30"/>
  <c r="AL84" i="30"/>
  <c r="V84" i="30"/>
  <c r="AF84" i="30"/>
  <c r="AE84" i="30"/>
  <c r="AB84" i="30"/>
  <c r="AG84" i="30"/>
  <c r="Y84" i="30"/>
  <c r="AQ84" i="30"/>
  <c r="AD84" i="30"/>
  <c r="U84" i="30"/>
  <c r="AP84" i="30"/>
  <c r="Q84" i="30" l="1"/>
  <c r="AJ84" i="30" s="1"/>
  <c r="U85" i="30"/>
  <c r="AO85" i="30"/>
  <c r="AS85" i="30"/>
  <c r="Y85" i="30"/>
  <c r="AY85" i="30"/>
  <c r="AD85" i="30"/>
  <c r="AM85" i="30"/>
  <c r="AP85" i="30"/>
  <c r="AC85" i="30"/>
  <c r="AR85" i="30"/>
  <c r="AF85" i="30"/>
  <c r="AU85" i="30"/>
  <c r="AB85" i="30"/>
  <c r="AG85" i="30"/>
  <c r="AK85" i="30"/>
  <c r="T85" i="30"/>
  <c r="AT85" i="30"/>
  <c r="X85" i="30"/>
  <c r="AW85" i="30"/>
  <c r="AV85" i="30"/>
  <c r="AZ85" i="30"/>
  <c r="AL85" i="30"/>
  <c r="R85" i="30"/>
  <c r="AX85" i="30"/>
  <c r="S85" i="30"/>
  <c r="AE85" i="30"/>
  <c r="AN85" i="30"/>
  <c r="W85" i="30"/>
  <c r="AA85" i="30"/>
  <c r="V85" i="30"/>
  <c r="AQ85" i="30"/>
  <c r="Z85" i="30"/>
  <c r="Q85" i="30" l="1"/>
  <c r="AJ85" i="30" s="1"/>
  <c r="AU86" i="30"/>
  <c r="AZ86" i="30"/>
  <c r="T86" i="30"/>
  <c r="S86" i="30"/>
  <c r="AV86" i="30"/>
  <c r="AP86" i="30"/>
  <c r="AF86" i="30"/>
  <c r="W86" i="30"/>
  <c r="AN86" i="30"/>
  <c r="U86" i="30"/>
  <c r="AY86" i="30"/>
  <c r="AT86" i="30"/>
  <c r="AL86" i="30"/>
  <c r="AQ86" i="30"/>
  <c r="V86" i="30"/>
  <c r="Z86" i="30"/>
  <c r="AA86" i="30"/>
  <c r="AK86" i="30"/>
  <c r="AR86" i="30"/>
  <c r="AO86" i="30"/>
  <c r="AS86" i="30"/>
  <c r="AC86" i="30"/>
  <c r="AB86" i="30"/>
  <c r="AM86" i="30"/>
  <c r="AD86" i="30"/>
  <c r="AE86" i="30"/>
  <c r="Y86" i="30"/>
  <c r="AG86" i="30"/>
  <c r="R86" i="30"/>
  <c r="AX86" i="30"/>
  <c r="X86" i="30"/>
  <c r="AW86" i="30"/>
  <c r="Q86" i="30" l="1"/>
  <c r="AJ86" i="30" s="1"/>
  <c r="AS87" i="30"/>
  <c r="T87" i="30"/>
  <c r="AY87" i="30"/>
  <c r="Y87" i="30"/>
  <c r="AN87" i="30"/>
  <c r="AT87" i="30"/>
  <c r="X87" i="30"/>
  <c r="AV87" i="30"/>
  <c r="AP87" i="30"/>
  <c r="AU87" i="30"/>
  <c r="AF87" i="30"/>
  <c r="AC87" i="30"/>
  <c r="AW87" i="30"/>
  <c r="Z87" i="30"/>
  <c r="AO87" i="30"/>
  <c r="W87" i="30"/>
  <c r="S87" i="30"/>
  <c r="AB87" i="30"/>
  <c r="AG87" i="30"/>
  <c r="U87" i="30"/>
  <c r="AR87" i="30"/>
  <c r="AE87" i="30"/>
  <c r="AQ87" i="30"/>
  <c r="V87" i="30"/>
  <c r="AK87" i="30"/>
  <c r="R87" i="30"/>
  <c r="AM87" i="30"/>
  <c r="AZ87" i="30"/>
  <c r="AL87" i="30"/>
  <c r="AD87" i="30"/>
  <c r="AA87" i="30"/>
  <c r="AX87" i="30"/>
  <c r="Q87" i="30" l="1"/>
  <c r="AJ87" i="30" s="1"/>
  <c r="W88" i="30"/>
  <c r="S88" i="30"/>
  <c r="AW88" i="30"/>
  <c r="AB88" i="30"/>
  <c r="AL88" i="30"/>
  <c r="U88" i="30"/>
  <c r="Y88" i="30"/>
  <c r="AZ88" i="30"/>
  <c r="X88" i="30"/>
  <c r="AR88" i="30"/>
  <c r="AA88" i="30"/>
  <c r="T88" i="30"/>
  <c r="AG88" i="30"/>
  <c r="AP88" i="30"/>
  <c r="AM88" i="30"/>
  <c r="AF88" i="30"/>
  <c r="AX88" i="30"/>
  <c r="AU88" i="30"/>
  <c r="AO88" i="30"/>
  <c r="AC88" i="30"/>
  <c r="AV88" i="30"/>
  <c r="AS88" i="30"/>
  <c r="AY88" i="30"/>
  <c r="Z88" i="30"/>
  <c r="AE88" i="30"/>
  <c r="V88" i="30"/>
  <c r="AK88" i="30"/>
  <c r="AN88" i="30"/>
  <c r="AQ88" i="30"/>
  <c r="R88" i="30"/>
  <c r="AT88" i="30"/>
  <c r="AD88" i="30"/>
  <c r="Q88" i="30" l="1"/>
  <c r="AJ88" i="30" s="1"/>
  <c r="AK89" i="30"/>
  <c r="AF89" i="30"/>
  <c r="U89" i="30"/>
  <c r="AX89" i="30"/>
  <c r="AM89" i="30"/>
  <c r="R89" i="30"/>
  <c r="Y89" i="30"/>
  <c r="AC89" i="30"/>
  <c r="AY89" i="30"/>
  <c r="AW89" i="30"/>
  <c r="AZ89" i="30"/>
  <c r="AR89" i="30"/>
  <c r="AB89" i="30"/>
  <c r="AG89" i="30"/>
  <c r="AE89" i="30"/>
  <c r="X89" i="30"/>
  <c r="AN89" i="30"/>
  <c r="AA89" i="30"/>
  <c r="T89" i="30"/>
  <c r="W89" i="30"/>
  <c r="AS89" i="30"/>
  <c r="AV89" i="30"/>
  <c r="AP89" i="30"/>
  <c r="AT89" i="30"/>
  <c r="AD89" i="30"/>
  <c r="Z89" i="30"/>
  <c r="AQ89" i="30"/>
  <c r="S89" i="30"/>
  <c r="AL89" i="30"/>
  <c r="AO89" i="30"/>
  <c r="AU89" i="30"/>
  <c r="V89" i="30"/>
  <c r="Q89" i="30" l="1"/>
  <c r="AJ89" i="30" s="1"/>
  <c r="Y90" i="30"/>
  <c r="AY90" i="30"/>
  <c r="AZ90" i="30"/>
  <c r="AA90" i="30"/>
  <c r="AT90" i="30"/>
  <c r="AC90" i="30"/>
  <c r="AF90" i="30"/>
  <c r="V90" i="30"/>
  <c r="AW90" i="30"/>
  <c r="AM90" i="30"/>
  <c r="Z90" i="30"/>
  <c r="AD90" i="30"/>
  <c r="T90" i="30"/>
  <c r="AO90" i="30"/>
  <c r="U90" i="30"/>
  <c r="R90" i="30"/>
  <c r="AV90" i="30"/>
  <c r="AR90" i="30"/>
  <c r="AK90" i="30"/>
  <c r="AL90" i="30"/>
  <c r="AE90" i="30"/>
  <c r="AB90" i="30"/>
  <c r="AQ90" i="30"/>
  <c r="AG90" i="30"/>
  <c r="S90" i="30"/>
  <c r="AX90" i="30"/>
  <c r="X90" i="30"/>
  <c r="AN90" i="30"/>
  <c r="AU90" i="30"/>
  <c r="AP90" i="30"/>
  <c r="W90" i="30"/>
  <c r="AS90" i="30"/>
  <c r="Q90" i="30" l="1"/>
  <c r="AJ90" i="30" s="1"/>
  <c r="W91" i="30"/>
  <c r="AG91" i="30"/>
  <c r="AR91" i="30"/>
  <c r="AP91" i="30"/>
  <c r="AL91" i="30"/>
  <c r="AE91" i="30"/>
  <c r="AQ91" i="30"/>
  <c r="R91" i="30"/>
  <c r="X91" i="30"/>
  <c r="AV91" i="30"/>
  <c r="AK91" i="30"/>
  <c r="V91" i="30"/>
  <c r="AC91" i="30"/>
  <c r="AO91" i="30"/>
  <c r="AF91" i="30"/>
  <c r="Z91" i="30"/>
  <c r="AT91" i="30"/>
  <c r="AM91" i="30"/>
  <c r="AX91" i="30"/>
  <c r="T91" i="30"/>
  <c r="U91" i="30"/>
  <c r="AB91" i="30"/>
  <c r="AS91" i="30"/>
  <c r="AW91" i="30"/>
  <c r="AN91" i="30"/>
  <c r="AA91" i="30"/>
  <c r="AZ91" i="30"/>
  <c r="S91" i="30"/>
  <c r="AD91" i="30"/>
  <c r="AY91" i="30"/>
  <c r="Y91" i="30"/>
  <c r="AU91" i="30"/>
  <c r="Q91" i="30" l="1"/>
  <c r="AJ91" i="30" s="1"/>
  <c r="AE92" i="30"/>
  <c r="AQ92" i="30"/>
  <c r="X92" i="30"/>
  <c r="AB92" i="30"/>
  <c r="AU92" i="30"/>
  <c r="Z92" i="30"/>
  <c r="AY92" i="30"/>
  <c r="AZ92" i="30"/>
  <c r="AV92" i="30"/>
  <c r="AO92" i="30"/>
  <c r="AK92" i="30"/>
  <c r="AA92" i="30"/>
  <c r="AF92" i="30"/>
  <c r="AX92" i="30"/>
  <c r="W92" i="30"/>
  <c r="S92" i="30"/>
  <c r="U92" i="30"/>
  <c r="AL92" i="30"/>
  <c r="AC92" i="30"/>
  <c r="AN92" i="30"/>
  <c r="R92" i="30"/>
  <c r="AT92" i="30"/>
  <c r="V92" i="30"/>
  <c r="AP92" i="30"/>
  <c r="AS92" i="30"/>
  <c r="AM92" i="30"/>
  <c r="AW92" i="30"/>
  <c r="Y92" i="30"/>
  <c r="AR92" i="30"/>
  <c r="AG92" i="30"/>
  <c r="AD92" i="30"/>
  <c r="T92" i="30"/>
  <c r="Q92" i="30" l="1"/>
  <c r="AJ92" i="30" s="1"/>
  <c r="AD93" i="30"/>
  <c r="AR93" i="30"/>
  <c r="AS93" i="30"/>
  <c r="AV93" i="30"/>
  <c r="AM93" i="30"/>
  <c r="AT93" i="30"/>
  <c r="R93" i="30"/>
  <c r="T93" i="30"/>
  <c r="AX93" i="30"/>
  <c r="AP93" i="30"/>
  <c r="Y93" i="30"/>
  <c r="U93" i="30"/>
  <c r="AU93" i="30"/>
  <c r="AY93" i="30"/>
  <c r="AC93" i="30"/>
  <c r="X93" i="30"/>
  <c r="AZ93" i="30"/>
  <c r="W93" i="30"/>
  <c r="AN93" i="30"/>
  <c r="AO93" i="30"/>
  <c r="AA93" i="30"/>
  <c r="S93" i="30"/>
  <c r="AB93" i="30"/>
  <c r="V93" i="30"/>
  <c r="AQ93" i="30"/>
  <c r="AL93" i="30"/>
  <c r="Z93" i="30"/>
  <c r="AK93" i="30"/>
  <c r="AE93" i="30"/>
  <c r="AW93" i="30"/>
  <c r="AF93" i="30"/>
  <c r="AG93" i="30"/>
  <c r="Q93" i="30" l="1"/>
  <c r="AJ93" i="30" s="1"/>
  <c r="V94" i="30"/>
  <c r="AK94" i="30"/>
  <c r="AF94" i="30"/>
  <c r="AN94" i="30"/>
  <c r="AB94" i="30"/>
  <c r="AW94" i="30"/>
  <c r="U94" i="30"/>
  <c r="AC94" i="30"/>
  <c r="AY94" i="30"/>
  <c r="AE94" i="30"/>
  <c r="R94" i="30"/>
  <c r="AZ94" i="30"/>
  <c r="AG94" i="30"/>
  <c r="AR94" i="30"/>
  <c r="S94" i="30"/>
  <c r="W94" i="30"/>
  <c r="AO94" i="30"/>
  <c r="AP94" i="30"/>
  <c r="AU94" i="30"/>
  <c r="Z94" i="30"/>
  <c r="AD94" i="30"/>
  <c r="AV94" i="30"/>
  <c r="Y94" i="30"/>
  <c r="AM94" i="30"/>
  <c r="AQ94" i="30"/>
  <c r="X94" i="30"/>
  <c r="AA94" i="30"/>
  <c r="AT94" i="30"/>
  <c r="AS94" i="30"/>
  <c r="AX94" i="30"/>
  <c r="T94" i="30"/>
  <c r="AL94" i="30"/>
  <c r="Q94" i="30" l="1"/>
  <c r="AJ94" i="30" s="1"/>
  <c r="V95" i="30"/>
  <c r="AW95" i="30"/>
  <c r="AA95" i="30"/>
  <c r="AE95" i="30"/>
  <c r="W95" i="30"/>
  <c r="AS95" i="30"/>
  <c r="AY95" i="30"/>
  <c r="AG95" i="30"/>
  <c r="Y95" i="30"/>
  <c r="Z95" i="30"/>
  <c r="AF95" i="30"/>
  <c r="S95" i="30"/>
  <c r="AX95" i="30"/>
  <c r="X95" i="30"/>
  <c r="AU95" i="30"/>
  <c r="AP95" i="30"/>
  <c r="AN95" i="30"/>
  <c r="AB95" i="30"/>
  <c r="AO95" i="30"/>
  <c r="R95" i="30"/>
  <c r="AM95" i="30"/>
  <c r="AT95" i="30"/>
  <c r="U95" i="30"/>
  <c r="AV95" i="30"/>
  <c r="AR95" i="30"/>
  <c r="AZ95" i="30"/>
  <c r="AL95" i="30"/>
  <c r="AK95" i="30"/>
  <c r="AQ95" i="30"/>
  <c r="AC95" i="30"/>
  <c r="AD95" i="30"/>
  <c r="T95" i="30"/>
  <c r="Q95" i="30" l="1"/>
  <c r="AJ95" i="30" s="1"/>
  <c r="S96" i="30"/>
  <c r="X96" i="30"/>
  <c r="AR96" i="30"/>
  <c r="AG96" i="30"/>
  <c r="AP96" i="30"/>
  <c r="AZ96" i="30"/>
  <c r="AQ96" i="30"/>
  <c r="AA96" i="30"/>
  <c r="AK96" i="30"/>
  <c r="AS96" i="30"/>
  <c r="AN96" i="30"/>
  <c r="AO96" i="30"/>
  <c r="AW96" i="30"/>
  <c r="R96" i="30"/>
  <c r="AB96" i="30"/>
  <c r="T96" i="30"/>
  <c r="AU96" i="30"/>
  <c r="V96" i="30"/>
  <c r="Z96" i="30"/>
  <c r="AL96" i="30"/>
  <c r="AX96" i="30"/>
  <c r="AE96" i="30"/>
  <c r="U96" i="30"/>
  <c r="W96" i="30"/>
  <c r="AV96" i="30"/>
  <c r="AF96" i="30"/>
  <c r="AT96" i="30"/>
  <c r="AC96" i="30"/>
  <c r="AM96" i="30"/>
  <c r="AY96" i="30"/>
  <c r="AD96" i="30"/>
  <c r="Y96" i="30"/>
  <c r="Q96" i="30" l="1"/>
  <c r="AJ96" i="30" s="1"/>
  <c r="AP97" i="30"/>
  <c r="AO97" i="30"/>
  <c r="AY97" i="30"/>
  <c r="AS97" i="30"/>
  <c r="AC97" i="30"/>
  <c r="AA97" i="30"/>
  <c r="AN97" i="30"/>
  <c r="AW97" i="30"/>
  <c r="R97" i="30"/>
  <c r="AE97" i="30"/>
  <c r="AT97" i="30"/>
  <c r="AB97" i="30"/>
  <c r="AX97" i="30"/>
  <c r="AU97" i="30"/>
  <c r="U97" i="30"/>
  <c r="AZ97" i="30"/>
  <c r="X97" i="30"/>
  <c r="T97" i="30"/>
  <c r="AF97" i="30"/>
  <c r="Y97" i="30"/>
  <c r="W97" i="30"/>
  <c r="AG97" i="30"/>
  <c r="AK97" i="30"/>
  <c r="S97" i="30"/>
  <c r="AD97" i="30"/>
  <c r="V97" i="30"/>
  <c r="AV97" i="30"/>
  <c r="AM97" i="30"/>
  <c r="AL97" i="30"/>
  <c r="AR97" i="30"/>
  <c r="AQ97" i="30"/>
  <c r="Z97" i="30"/>
  <c r="Q97" i="30" l="1"/>
  <c r="AJ97" i="30" s="1"/>
  <c r="AF98" i="30"/>
  <c r="AZ98" i="30"/>
  <c r="Y98" i="30"/>
  <c r="AM98" i="30"/>
  <c r="AC98" i="30"/>
  <c r="AV98" i="30"/>
  <c r="AP98" i="30"/>
  <c r="W98" i="30"/>
  <c r="AK98" i="30"/>
  <c r="AS98" i="30"/>
  <c r="AD98" i="30"/>
  <c r="AQ98" i="30"/>
  <c r="AR98" i="30"/>
  <c r="AN98" i="30"/>
  <c r="AG98" i="30"/>
  <c r="R98" i="30"/>
  <c r="AB98" i="30"/>
  <c r="AU98" i="30"/>
  <c r="S98" i="30"/>
  <c r="Z98" i="30"/>
  <c r="AT98" i="30"/>
  <c r="AW98" i="30"/>
  <c r="AX98" i="30"/>
  <c r="U98" i="30"/>
  <c r="AE98" i="30"/>
  <c r="AL98" i="30"/>
  <c r="V98" i="30"/>
  <c r="AY98" i="30"/>
  <c r="T98" i="30"/>
  <c r="AA98" i="30"/>
  <c r="AO98" i="30"/>
  <c r="X98" i="30"/>
  <c r="Q98" i="30" l="1"/>
  <c r="AJ98" i="30" s="1"/>
  <c r="AC99" i="30"/>
  <c r="AT99" i="30"/>
  <c r="AR99" i="30"/>
  <c r="AQ99" i="30"/>
  <c r="AK99" i="30"/>
  <c r="AY99" i="30"/>
  <c r="AO99" i="30"/>
  <c r="AZ99" i="30"/>
  <c r="AX99" i="30"/>
  <c r="AN99" i="30"/>
  <c r="AS99" i="30"/>
  <c r="AG99" i="30"/>
  <c r="AE99" i="30"/>
  <c r="AW99" i="30"/>
  <c r="S99" i="30"/>
  <c r="V99" i="30"/>
  <c r="AA99" i="30"/>
  <c r="AF99" i="30"/>
  <c r="AL99" i="30"/>
  <c r="AB99" i="30"/>
  <c r="AV99" i="30"/>
  <c r="X99" i="30"/>
  <c r="Z99" i="30"/>
  <c r="AM99" i="30"/>
  <c r="W99" i="30"/>
  <c r="T99" i="30"/>
  <c r="AP99" i="30"/>
  <c r="AD99" i="30"/>
  <c r="U99" i="30"/>
  <c r="AU99" i="30"/>
  <c r="R99" i="30"/>
  <c r="Y99" i="30"/>
  <c r="Q99" i="30" l="1"/>
  <c r="AJ99" i="30" s="1"/>
  <c r="AK100" i="30"/>
  <c r="S100" i="30"/>
  <c r="AQ100" i="30"/>
  <c r="V100" i="30"/>
  <c r="AA100" i="30"/>
  <c r="AG100" i="30"/>
  <c r="AM100" i="30"/>
  <c r="AD100" i="30"/>
  <c r="AP100" i="30"/>
  <c r="AR100" i="30"/>
  <c r="AE100" i="30"/>
  <c r="AX100" i="30"/>
  <c r="U100" i="30"/>
  <c r="AN100" i="30"/>
  <c r="AY100" i="30"/>
  <c r="AB100" i="30"/>
  <c r="Y100" i="30"/>
  <c r="AS100" i="30"/>
  <c r="T100" i="30"/>
  <c r="R100" i="30"/>
  <c r="AF100" i="30"/>
  <c r="AO100" i="30"/>
  <c r="X100" i="30"/>
  <c r="Z100" i="30"/>
  <c r="AW100" i="30"/>
  <c r="AV100" i="30"/>
  <c r="AU100" i="30"/>
  <c r="AL100" i="30"/>
  <c r="AT100" i="30"/>
  <c r="AZ100" i="30"/>
  <c r="AC100" i="30"/>
  <c r="W100" i="30"/>
  <c r="Q100" i="30" l="1"/>
  <c r="AJ100" i="30" s="1"/>
  <c r="AT101" i="30"/>
  <c r="AC101" i="30"/>
  <c r="U101" i="30"/>
  <c r="X101" i="30"/>
  <c r="AD101" i="30"/>
  <c r="AR101" i="30"/>
  <c r="AY101" i="30"/>
  <c r="Y101" i="30"/>
  <c r="AW101" i="30"/>
  <c r="AF101" i="30"/>
  <c r="AX101" i="30"/>
  <c r="Z101" i="30"/>
  <c r="AV101" i="30"/>
  <c r="AU101" i="30"/>
  <c r="AA101" i="30"/>
  <c r="AK101" i="30"/>
  <c r="AE101" i="30"/>
  <c r="AB101" i="30"/>
  <c r="W101" i="30"/>
  <c r="AQ101" i="30"/>
  <c r="AL101" i="30"/>
  <c r="AZ101" i="30"/>
  <c r="AS101" i="30"/>
  <c r="AM101" i="30"/>
  <c r="S101" i="30"/>
  <c r="T101" i="30"/>
  <c r="AN101" i="30"/>
  <c r="AP101" i="30"/>
  <c r="R101" i="30"/>
  <c r="V101" i="30"/>
  <c r="AO101" i="30"/>
  <c r="AG101" i="30"/>
  <c r="Q101" i="30" l="1"/>
  <c r="AJ101" i="30" s="1"/>
  <c r="AN102" i="30"/>
  <c r="AD102" i="30"/>
  <c r="AG102" i="30"/>
  <c r="AQ102" i="30"/>
  <c r="S102" i="30"/>
  <c r="R102" i="30"/>
  <c r="AM102" i="30"/>
  <c r="AX102" i="30"/>
  <c r="AO102" i="30"/>
  <c r="AL102" i="30"/>
  <c r="AC102" i="30"/>
  <c r="AV102" i="30"/>
  <c r="AK102" i="30"/>
  <c r="AR102" i="30"/>
  <c r="V102" i="30"/>
  <c r="AY102" i="30"/>
  <c r="AE102" i="30"/>
  <c r="AF102" i="30"/>
  <c r="U102" i="30"/>
  <c r="AT102" i="30"/>
  <c r="Z102" i="30"/>
  <c r="W102" i="30"/>
  <c r="AS102" i="30"/>
  <c r="AU102" i="30"/>
  <c r="T102" i="30"/>
  <c r="AA102" i="30"/>
  <c r="Y102" i="30"/>
  <c r="AP102" i="30"/>
  <c r="AB102" i="30"/>
  <c r="AZ102" i="30"/>
  <c r="AW102" i="30"/>
  <c r="X102" i="30"/>
  <c r="Q102" i="30" l="1"/>
  <c r="AJ102" i="30" s="1"/>
</calcChain>
</file>

<file path=xl/sharedStrings.xml><?xml version="1.0" encoding="utf-8"?>
<sst xmlns="http://schemas.openxmlformats.org/spreadsheetml/2006/main" count="195" uniqueCount="152">
  <si>
    <t>Inductance (mH)</t>
  </si>
  <si>
    <t>mm/s</t>
  </si>
  <si>
    <t>Model</t>
  </si>
  <si>
    <t>Input Voltage</t>
  </si>
  <si>
    <t>Pulley Size</t>
  </si>
  <si>
    <t>Gear Ratio</t>
  </si>
  <si>
    <t>Body Length</t>
  </si>
  <si>
    <t>Rotor Inertia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</si>
  <si>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</si>
  <si>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</si>
  <si>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</si>
  <si>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</si>
  <si>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</si>
  <si>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</si>
  <si>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</si>
  <si>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</si>
  <si>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Nanotec</t>
  </si>
  <si>
    <t>Moons</t>
  </si>
  <si>
    <t>Motech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</si>
  <si>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</si>
  <si>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</si>
  <si>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</si>
  <si>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</si>
  <si>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</si>
  <si>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</si>
  <si>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</si>
  <si>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</si>
  <si>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42STH48-2004AC (VRN)</t>
  </si>
  <si>
    <t>ST4209L1704-A</t>
  </si>
  <si>
    <t>MS17HA2P4200</t>
  </si>
  <si>
    <t>42STH40-2004MAH(VRN)</t>
  </si>
  <si>
    <t>MT-1704HSM168RE</t>
  </si>
  <si>
    <t>14HS17-0504S</t>
  </si>
  <si>
    <t>14HS20-1504S</t>
  </si>
  <si>
    <t>17HS13-0404S1</t>
  </si>
  <si>
    <t>MS14HA1P4150</t>
  </si>
  <si>
    <t>MS17HDBP4100</t>
  </si>
  <si>
    <t>14HS13-0804S</t>
  </si>
  <si>
    <t>Step Angle</t>
  </si>
  <si>
    <t>Resistance</t>
  </si>
  <si>
    <t>Inductance</t>
  </si>
  <si>
    <t>Torque</t>
  </si>
  <si>
    <t>Drive Current</t>
  </si>
  <si>
    <t>Rated Current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</si>
  <si>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</si>
  <si>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</si>
  <si>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</si>
  <si>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</si>
  <si>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</si>
  <si>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</si>
  <si>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</si>
  <si>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</si>
  <si>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</si>
  <si>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</si>
  <si>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</si>
  <si>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</si>
  <si>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</si>
  <si>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</si>
  <si>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</si>
  <si>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</si>
  <si>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Max Drive Current</t>
  </si>
  <si>
    <t>Amps</t>
  </si>
  <si>
    <t>Volts</t>
  </si>
  <si>
    <t>Max Drive Percent</t>
  </si>
  <si>
    <t>Teeth</t>
  </si>
  <si>
    <t>Acceleration</t>
  </si>
  <si>
    <t>N-cm</t>
  </si>
  <si>
    <t>Torque Rotor</t>
  </si>
  <si>
    <t>g</t>
  </si>
  <si>
    <t>Torque Required</t>
  </si>
  <si>
    <t>Toolhead + Y axis mass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</si>
  <si>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</si>
  <si>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</si>
  <si>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</si>
  <si>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</si>
  <si>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</si>
  <si>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</si>
  <si>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</si>
  <si>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</si>
  <si>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</si>
  <si>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</si>
  <si>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</si>
  <si>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</si>
  <si>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</si>
  <si>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</si>
  <si>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</si>
  <si>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</si>
  <si>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</si>
  <si>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</si>
  <si>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https://en.nanotec.com/fileadmin/files/Datenblaetter/Schrittmotoren/ST4209/L/ST4209L1704-A.pdf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</si>
  <si>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</si>
  <si>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</si>
  <si>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https://e3d-online.dozuki.com/Document/osnGcCIVUaHhhmwr/High_Torque_Axes_Datasheet.pdf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</si>
  <si>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</si>
  <si>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</si>
  <si>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</si>
  <si>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</si>
  <si>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</si>
  <si>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</si>
  <si>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</si>
  <si>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</si>
  <si>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</si>
  <si>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</si>
  <si>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35STH26-0404AH(VRN)</t>
  </si>
  <si>
    <t>35STH42-0504AH(VRN)</t>
  </si>
  <si>
    <t>Motor Type</t>
  </si>
  <si>
    <t>42STH20-1004ASH</t>
  </si>
  <si>
    <t>https://cdn.shopify.com/s/files/1/0887/0138/files/LDO-42STH20-1004ASHVRN-RevA.pdf?v=1595617057</t>
  </si>
  <si>
    <t>OMC-17HS19-2004S1</t>
  </si>
  <si>
    <t>42STH40-1004MAH</t>
  </si>
  <si>
    <t>https://cdn.shopify.com/s/files/1/0239/9287/files/LDO-42STH40-1004MAH_RevA.pdf?v=1586025853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</si>
  <si>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</si>
  <si>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</si>
  <si>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</si>
  <si>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</si>
  <si>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LDO-42STH48-1684MAH</t>
  </si>
  <si>
    <t>LDO-42STH40-2004MAH(VRN)</t>
  </si>
  <si>
    <t>Moons-MS17HA2P4150 </t>
  </si>
  <si>
    <t>OMC-17HM19-1684S</t>
  </si>
  <si>
    <t>OMC-17HM19-2004S</t>
  </si>
  <si>
    <t>42STH47-2504AC</t>
  </si>
  <si>
    <t>LDO-42STH40-1004MAH</t>
  </si>
  <si>
    <t>LDO-42STH47-2504AC</t>
  </si>
  <si>
    <t>LDO-42STH60-2004MAH</t>
  </si>
  <si>
    <t>LDO-42STH60-2004MAC (Railcore)</t>
  </si>
  <si>
    <t>LDO-42STH60-2004AH</t>
  </si>
  <si>
    <t>LDO-35STH42-0504AH(VRN)</t>
  </si>
  <si>
    <t>LDO-35STH48-1684AHVRN</t>
  </si>
  <si>
    <t>Moons-MS14HA1P4150</t>
  </si>
  <si>
    <t>Moons-MS14HA3P4150</t>
  </si>
  <si>
    <t>OMC-14HS13-0804S</t>
  </si>
  <si>
    <t>OMC-14HS17-0504S</t>
  </si>
  <si>
    <t>OMC-14HS20-1504S</t>
  </si>
  <si>
    <t>17HS24-2104S</t>
  </si>
  <si>
    <t>https://github.com/FYSETC/FYSETC-Voron-0/blob/main/Docs/Stepper%20motor%20parameters/42HSC1404B-200N8.pdf</t>
  </si>
  <si>
    <t>FYSETC</t>
  </si>
  <si>
    <t>42HSC1404B-200N8</t>
  </si>
  <si>
    <t>35HSH7402-24B-400A</t>
  </si>
  <si>
    <t>https://github.com/FYSETC/FYSETC-Voron-0/blob/main/Docs/Stepper%20motor%20parameters/35HSH7402-24B-400A.pdf</t>
  </si>
  <si>
    <t>G36HSY4407-6D-550</t>
  </si>
  <si>
    <t>https://github.com/FYSETC/FYSETC-Voron-0/blob/main/Docs/Stepper%20motor%20parameters/G36HSY4407-6D-550.pdf</t>
  </si>
  <si>
    <t>V0.1 Z</t>
  </si>
  <si>
    <t>V0.1 AB</t>
  </si>
  <si>
    <t>V0.1 Extruder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</si>
  <si>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</si>
  <si>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</si>
  <si>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</si>
  <si>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</si>
  <si>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</si>
  <si>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</si>
  <si>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</si>
  <si>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LDO-42STH48-2004AC (VRN)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</si>
</sst>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64" fontId="0" fillId="0" borderId="0" xfId="0" applyNumberFormat="1"/>
    <xf numFmtId="9" fontId="0" fillId="0" borderId="0" xfId="0" applyNumberFormat="1"/>
    <xf numFmtId="0" fontId="3" fillId="0" borderId="0" xfId="0" applyFont="1"/>
    <xf numFmtId="0" fontId="4" fillId="0" borderId="0" xfId="0" applyFon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4.xml"/><Relationship Id="rId11" Type="http://schemas.microsoft.com/office/2006/relationships/vbaProject" Target="vbaProject.bin"/><Relationship Id="rId5" Type="http://schemas.openxmlformats.org/officeDocument/2006/relationships/worksheet" Target="work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48V, 20T, 90k, 500g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30.133124239795386</c:v>
                </c:pt>
                <c:pt idx="1">
                  <c:v>30.133124239795386</c:v>
                </c:pt>
                <c:pt idx="2">
                  <c:v>30.133124239795386</c:v>
                </c:pt>
                <c:pt idx="3">
                  <c:v>30.133124239795386</c:v>
                </c:pt>
                <c:pt idx="4">
                  <c:v>30.133124239795386</c:v>
                </c:pt>
                <c:pt idx="5">
                  <c:v>30.133124239795386</c:v>
                </c:pt>
                <c:pt idx="6">
                  <c:v>30.133124239795386</c:v>
                </c:pt>
                <c:pt idx="7">
                  <c:v>30.133124239795386</c:v>
                </c:pt>
                <c:pt idx="8">
                  <c:v>30.133124239795386</c:v>
                </c:pt>
                <c:pt idx="9">
                  <c:v>30.133124239795386</c:v>
                </c:pt>
                <c:pt idx="10">
                  <c:v>30.133124239795386</c:v>
                </c:pt>
                <c:pt idx="11">
                  <c:v>30.133124239795386</c:v>
                </c:pt>
                <c:pt idx="12">
                  <c:v>30.133124239795386</c:v>
                </c:pt>
                <c:pt idx="13">
                  <c:v>30.133124239795386</c:v>
                </c:pt>
                <c:pt idx="14">
                  <c:v>30.133124239795386</c:v>
                </c:pt>
                <c:pt idx="15">
                  <c:v>30.133124239795386</c:v>
                </c:pt>
                <c:pt idx="16">
                  <c:v>30.133124239795386</c:v>
                </c:pt>
                <c:pt idx="17">
                  <c:v>30.133124239795386</c:v>
                </c:pt>
                <c:pt idx="18">
                  <c:v>30.133124239795386</c:v>
                </c:pt>
                <c:pt idx="19">
                  <c:v>30.133124239795386</c:v>
                </c:pt>
                <c:pt idx="20">
                  <c:v>30.133124239795386</c:v>
                </c:pt>
                <c:pt idx="21">
                  <c:v>30.133124239795386</c:v>
                </c:pt>
                <c:pt idx="22">
                  <c:v>30.133124239795386</c:v>
                </c:pt>
                <c:pt idx="23">
                  <c:v>30.133124239795386</c:v>
                </c:pt>
                <c:pt idx="24">
                  <c:v>30.133124239795386</c:v>
                </c:pt>
                <c:pt idx="25">
                  <c:v>30.133124239795386</c:v>
                </c:pt>
                <c:pt idx="26">
                  <c:v>30.133124239795386</c:v>
                </c:pt>
                <c:pt idx="27">
                  <c:v>30.133124239795386</c:v>
                </c:pt>
                <c:pt idx="28">
                  <c:v>30.133124239795386</c:v>
                </c:pt>
                <c:pt idx="29">
                  <c:v>28.557505903875196</c:v>
                </c:pt>
                <c:pt idx="30">
                  <c:v>26.459688989821849</c:v>
                </c:pt>
                <c:pt idx="31">
                  <c:v>24.485378487457027</c:v>
                </c:pt>
                <c:pt idx="32">
                  <c:v>22.623979348080326</c:v>
                </c:pt>
                <c:pt idx="33">
                  <c:v>20.866074700370085</c:v>
                </c:pt>
                <c:pt idx="34">
                  <c:v>19.203266512250892</c:v>
                </c:pt>
                <c:pt idx="35">
                  <c:v>17.628041430641588</c:v>
                </c:pt>
                <c:pt idx="36">
                  <c:v>16.133657276611775</c:v>
                </c:pt>
                <c:pt idx="37">
                  <c:v>14.714046578626153</c:v>
                </c:pt>
                <c:pt idx="38">
                  <c:v>13.363734232874165</c:v>
                </c:pt>
                <c:pt idx="39">
                  <c:v>12.077766934543046</c:v>
                </c:pt>
                <c:pt idx="40">
                  <c:v>10.851652462539754</c:v>
                </c:pt>
                <c:pt idx="41">
                  <c:v>9.6813072490333845</c:v>
                </c:pt>
                <c:pt idx="42">
                  <c:v>8.5630109442363782</c:v>
                </c:pt>
                <c:pt idx="43">
                  <c:v>7.4933669112597201</c:v>
                </c:pt>
                <c:pt idx="44">
                  <c:v>6.4692677672939922</c:v>
                </c:pt>
                <c:pt idx="45">
                  <c:v>5.4878652347484831</c:v>
                </c:pt>
                <c:pt idx="46">
                  <c:v>4.5465436862752995</c:v>
                </c:pt>
                <c:pt idx="47">
                  <c:v>3.6428968662341816</c:v>
                </c:pt>
                <c:pt idx="48">
                  <c:v>2.7747073523677113</c:v>
                </c:pt>
                <c:pt idx="49">
                  <c:v>1.9399283886065817</c:v>
                </c:pt>
                <c:pt idx="50">
                  <c:v>1.1366677756650905</c:v>
                </c:pt>
                <c:pt idx="51">
                  <c:v>0.36317355253295425</c:v>
                </c:pt>
                <c:pt idx="52">
                  <c:v>-0.38217875918920363</c:v>
                </c:pt>
                <c:pt idx="53">
                  <c:v>-1.1008975435673882</c:v>
                </c:pt>
                <c:pt idx="54">
                  <c:v>-1.7943852792351525</c:v>
                </c:pt>
                <c:pt idx="55">
                  <c:v>-2.4639476737425721</c:v>
                </c:pt>
                <c:pt idx="56">
                  <c:v>-3.1108018685312775</c:v>
                </c:pt>
                <c:pt idx="57">
                  <c:v>-3.7360838230149298</c:v>
                </c:pt>
                <c:pt idx="58">
                  <c:v>-4.3408549720110354</c:v>
                </c:pt>
                <c:pt idx="59">
                  <c:v>-4.9261082386034083</c:v>
                </c:pt>
                <c:pt idx="60">
                  <c:v>-5.4927734740872181</c:v>
                </c:pt>
                <c:pt idx="61">
                  <c:v>-6.0417223876877895</c:v>
                </c:pt>
                <c:pt idx="62">
                  <c:v>-6.5737730210252012</c:v>
                </c:pt>
                <c:pt idx="63">
                  <c:v>-7.0896938156304445</c:v>
                </c:pt>
                <c:pt idx="64">
                  <c:v>-7.5902073160485353</c:v>
                </c:pt>
                <c:pt idx="65">
                  <c:v>-8.0759935460577772</c:v>
                </c:pt>
                <c:pt idx="66">
                  <c:v>-8.5476930911811699</c:v>
                </c:pt>
                <c:pt idx="67">
                  <c:v>-9.0059099168729979</c:v>
                </c:pt>
                <c:pt idx="68">
                  <c:v>-9.4512139484514073</c:v>
                </c:pt>
                <c:pt idx="69">
                  <c:v>-9.8841434359499267</c:v>
                </c:pt>
                <c:pt idx="70">
                  <c:v>-10.305207124520313</c:v>
                </c:pt>
                <c:pt idx="71">
                  <c:v>-10.714886248787771</c:v>
                </c:pt>
                <c:pt idx="72">
                  <c:v>-11.113636367595966</c:v>
                </c:pt>
                <c:pt idx="73">
                  <c:v>-11.50188905384845</c:v>
                </c:pt>
                <c:pt idx="74">
                  <c:v>-11.592476891746337</c:v>
                </c:pt>
                <c:pt idx="75">
                  <c:v>-11.592476891746337</c:v>
                </c:pt>
                <c:pt idx="76">
                  <c:v>-11.592476891746337</c:v>
                </c:pt>
                <c:pt idx="77">
                  <c:v>-11.592476891746337</c:v>
                </c:pt>
                <c:pt idx="78">
                  <c:v>-11.592476891746337</c:v>
                </c:pt>
                <c:pt idx="79">
                  <c:v>-11.592476891746337</c:v>
                </c:pt>
                <c:pt idx="80">
                  <c:v>-11.592476891746337</c:v>
                </c:pt>
                <c:pt idx="81">
                  <c:v>-11.592476891746337</c:v>
                </c:pt>
                <c:pt idx="82">
                  <c:v>-11.592476891746337</c:v>
                </c:pt>
                <c:pt idx="83">
                  <c:v>-11.592476891746337</c:v>
                </c:pt>
                <c:pt idx="84">
                  <c:v>-11.592476891746337</c:v>
                </c:pt>
                <c:pt idx="85">
                  <c:v>-11.592476891746337</c:v>
                </c:pt>
                <c:pt idx="86">
                  <c:v>-11.592476891746337</c:v>
                </c:pt>
                <c:pt idx="87">
                  <c:v>-11.592476891746337</c:v>
                </c:pt>
                <c:pt idx="88">
                  <c:v>-11.592476891746337</c:v>
                </c:pt>
                <c:pt idx="89">
                  <c:v>-11.592476891746337</c:v>
                </c:pt>
                <c:pt idx="90">
                  <c:v>-11.592476891746337</c:v>
                </c:pt>
                <c:pt idx="91">
                  <c:v>-11.592476891746337</c:v>
                </c:pt>
                <c:pt idx="92">
                  <c:v>-11.592476891746337</c:v>
                </c:pt>
                <c:pt idx="93">
                  <c:v>-11.592476891746337</c:v>
                </c:pt>
                <c:pt idx="94">
                  <c:v>-11.592476891746337</c:v>
                </c:pt>
                <c:pt idx="95">
                  <c:v>-11.592476891746337</c:v>
                </c:pt>
                <c:pt idx="96">
                  <c:v>-11.592476891746337</c:v>
                </c:pt>
                <c:pt idx="97">
                  <c:v>-11.592476891746337</c:v>
                </c:pt>
                <c:pt idx="98">
                  <c:v>-11.592476891746337</c:v>
                </c:pt>
                <c:pt idx="99">
                  <c:v>-11.592476891746337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UI!$S$2</c:f>
              <c:strCache>
                <c:ptCount val="1"/>
                <c:pt idx="0">
                  <c:v>OMC-17HM19-2004S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20.939347719286189</c:v>
                </c:pt>
                <c:pt idx="1">
                  <c:v>20.939347719286189</c:v>
                </c:pt>
                <c:pt idx="2">
                  <c:v>20.939347719286189</c:v>
                </c:pt>
                <c:pt idx="3">
                  <c:v>20.939347719286189</c:v>
                </c:pt>
                <c:pt idx="4">
                  <c:v>20.939347719286189</c:v>
                </c:pt>
                <c:pt idx="5">
                  <c:v>20.939347719286189</c:v>
                </c:pt>
                <c:pt idx="6">
                  <c:v>20.939347719286189</c:v>
                </c:pt>
                <c:pt idx="7">
                  <c:v>20.939347719286189</c:v>
                </c:pt>
                <c:pt idx="8">
                  <c:v>20.939347719286189</c:v>
                </c:pt>
                <c:pt idx="9">
                  <c:v>20.939347719286189</c:v>
                </c:pt>
                <c:pt idx="10">
                  <c:v>20.939347719286189</c:v>
                </c:pt>
                <c:pt idx="11">
                  <c:v>20.939347719286189</c:v>
                </c:pt>
                <c:pt idx="12">
                  <c:v>20.939347719286189</c:v>
                </c:pt>
                <c:pt idx="13">
                  <c:v>20.939347719286189</c:v>
                </c:pt>
                <c:pt idx="14">
                  <c:v>20.939347719286189</c:v>
                </c:pt>
                <c:pt idx="15">
                  <c:v>20.728678131259493</c:v>
                </c:pt>
                <c:pt idx="16">
                  <c:v>18.458894823962936</c:v>
                </c:pt>
                <c:pt idx="17">
                  <c:v>16.439171546295171</c:v>
                </c:pt>
                <c:pt idx="18">
                  <c:v>14.630342394692455</c:v>
                </c:pt>
                <c:pt idx="19">
                  <c:v>13.001014827420416</c:v>
                </c:pt>
                <c:pt idx="20">
                  <c:v>11.525732329822144</c:v>
                </c:pt>
                <c:pt idx="21">
                  <c:v>10.18363468968667</c:v>
                </c:pt>
                <c:pt idx="22">
                  <c:v>8.9574654428665426</c:v>
                </c:pt>
                <c:pt idx="23">
                  <c:v>7.8328258763654794</c:v>
                </c:pt>
                <c:pt idx="24">
                  <c:v>6.7976069752106696</c:v>
                </c:pt>
                <c:pt idx="25">
                  <c:v>5.8415516870904689</c:v>
                </c:pt>
                <c:pt idx="26">
                  <c:v>4.9559139101685474</c:v>
                </c:pt>
                <c:pt idx="27">
                  <c:v>4.1331901554682364</c:v>
                </c:pt>
                <c:pt idx="28">
                  <c:v>3.3669064342965012</c:v>
                </c:pt>
                <c:pt idx="29">
                  <c:v>2.6514475506353659</c:v>
                </c:pt>
                <c:pt idx="30">
                  <c:v>1.9819192704895272</c:v>
                </c:pt>
                <c:pt idx="31">
                  <c:v>1.354036210780535</c:v>
                </c:pt>
                <c:pt idx="32">
                  <c:v>0.7640300174522654</c:v>
                </c:pt>
                <c:pt idx="33">
                  <c:v>0.20857367442090435</c:v>
                </c:pt>
                <c:pt idx="34">
                  <c:v>-0.31528126867505435</c:v>
                </c:pt>
                <c:pt idx="35">
                  <c:v>-0.81015705122009507</c:v>
                </c:pt>
                <c:pt idx="36">
                  <c:v>-1.2783936015773136</c:v>
                </c:pt>
                <c:pt idx="37">
                  <c:v>-1.7220855334330682</c:v>
                </c:pt>
                <c:pt idx="38">
                  <c:v>-2.1431134727696008</c:v>
                </c:pt>
                <c:pt idx="39">
                  <c:v>-2.543170703802879</c:v>
                </c:pt>
                <c:pt idx="40">
                  <c:v>-2.9237859300979281</c:v>
                </c:pt>
                <c:pt idx="41">
                  <c:v>-3.2863427959680482</c:v>
                </c:pt>
                <c:pt idx="42">
                  <c:v>-3.6320966936726551</c:v>
                </c:pt>
                <c:pt idx="43">
                  <c:v>-3.9621892867133583</c:v>
                </c:pt>
                <c:pt idx="44">
                  <c:v>-4.2776611032909075</c:v>
                </c:pt>
                <c:pt idx="45">
                  <c:v>-4.5794624926149314</c:v>
                </c:pt>
                <c:pt idx="46">
                  <c:v>-4.8684631871010202</c:v>
                </c:pt>
                <c:pt idx="47">
                  <c:v>-5.1454606731134556</c:v>
                </c:pt>
                <c:pt idx="48">
                  <c:v>-5.4111875399284184</c:v>
                </c:pt>
                <c:pt idx="49">
                  <c:v>-5.6663179495278193</c:v>
                </c:pt>
                <c:pt idx="50">
                  <c:v>-5.9114733475309951</c:v>
                </c:pt>
                <c:pt idx="51">
                  <c:v>-6.1472275171173543</c:v>
                </c:pt>
                <c:pt idx="52">
                  <c:v>-6.374111062463454</c:v>
                </c:pt>
                <c:pt idx="53">
                  <c:v>-6.5926153954362068</c:v>
                </c:pt>
                <c:pt idx="54">
                  <c:v>-6.8031962885877153</c:v>
                </c:pt>
                <c:pt idx="55">
                  <c:v>-7.0062770485154591</c:v>
                </c:pt>
                <c:pt idx="56">
                  <c:v>-7.2022513560840951</c:v>
                </c:pt>
                <c:pt idx="57">
                  <c:v>-7.3914858136087807</c:v>
                </c:pt>
                <c:pt idx="58">
                  <c:v>-7.5743222336769076</c:v>
                </c:pt>
                <c:pt idx="59">
                  <c:v>-7.7510796996732303</c:v>
                </c:pt>
                <c:pt idx="60">
                  <c:v>-7.9220564241404947</c:v>
                </c:pt>
                <c:pt idx="61">
                  <c:v>-8.087531427744036</c:v>
                </c:pt>
                <c:pt idx="62">
                  <c:v>-8.2477660587246611</c:v>
                </c:pt>
                <c:pt idx="63">
                  <c:v>-8.4030053702445784</c:v>
                </c:pt>
                <c:pt idx="64">
                  <c:v>-8.5534793708940224</c:v>
                </c:pt>
                <c:pt idx="65">
                  <c:v>-8.6994041617799382</c:v>
                </c:pt>
                <c:pt idx="66">
                  <c:v>-8.8409829720192246</c:v>
                </c:pt>
                <c:pt idx="67">
                  <c:v>-8.9784071030712234</c:v>
                </c:pt>
                <c:pt idx="68">
                  <c:v>-9.1118567911371269</c:v>
                </c:pt>
                <c:pt idx="69">
                  <c:v>-9.2415019958015954</c:v>
                </c:pt>
                <c:pt idx="70">
                  <c:v>-9.367503122172737</c:v>
                </c:pt>
                <c:pt idx="71">
                  <c:v>-9.4900116829721579</c:v>
                </c:pt>
                <c:pt idx="72">
                  <c:v>-9.6091709063211201</c:v>
                </c:pt>
                <c:pt idx="73">
                  <c:v>-9.7251162943490161</c:v>
                </c:pt>
                <c:pt idx="74">
                  <c:v>-9.837976137204695</c:v>
                </c:pt>
                <c:pt idx="75">
                  <c:v>-9.9478719865699645</c:v>
                </c:pt>
                <c:pt idx="76">
                  <c:v>-10.054919092349518</c:v>
                </c:pt>
                <c:pt idx="77">
                  <c:v>-10.159226805835505</c:v>
                </c:pt>
                <c:pt idx="78">
                  <c:v>-10.260898952311523</c:v>
                </c:pt>
                <c:pt idx="79">
                  <c:v>-10.360034175764991</c:v>
                </c:pt>
                <c:pt idx="80">
                  <c:v>-10.45672625811368</c:v>
                </c:pt>
                <c:pt idx="81">
                  <c:v>-10.55106441511797</c:v>
                </c:pt>
                <c:pt idx="82">
                  <c:v>-10.643133570941462</c:v>
                </c:pt>
                <c:pt idx="83">
                  <c:v>-10.733014613135964</c:v>
                </c:pt>
                <c:pt idx="84">
                  <c:v>-10.820784629660089</c:v>
                </c:pt>
                <c:pt idx="85">
                  <c:v>-10.906517129391201</c:v>
                </c:pt>
                <c:pt idx="86">
                  <c:v>-10.990282247456499</c:v>
                </c:pt>
                <c:pt idx="87">
                  <c:v>-11.072146936588686</c:v>
                </c:pt>
                <c:pt idx="88">
                  <c:v>-11.152175145603561</c:v>
                </c:pt>
                <c:pt idx="89">
                  <c:v>-11.230427985999363</c:v>
                </c:pt>
                <c:pt idx="90">
                  <c:v>-11.30696388759014</c:v>
                </c:pt>
                <c:pt idx="91">
                  <c:v>-11.381838744006039</c:v>
                </c:pt>
                <c:pt idx="92">
                  <c:v>-11.455106048822</c:v>
                </c:pt>
                <c:pt idx="93">
                  <c:v>-11.52681702301158</c:v>
                </c:pt>
                <c:pt idx="94">
                  <c:v>-11.592476891746337</c:v>
                </c:pt>
                <c:pt idx="95">
                  <c:v>-11.592476891746337</c:v>
                </c:pt>
                <c:pt idx="96">
                  <c:v>-11.592476891746337</c:v>
                </c:pt>
                <c:pt idx="97">
                  <c:v>-11.592476891746337</c:v>
                </c:pt>
                <c:pt idx="98">
                  <c:v>-11.592476891746337</c:v>
                </c:pt>
                <c:pt idx="99">
                  <c:v>-11.592476891746337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UI!$T$2</c:f>
              <c:strCache>
                <c:ptCount val="1"/>
                <c:pt idx="0">
                  <c:v>LDO-42STH48-2004AC 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29.001795653060057</c:v>
                </c:pt>
                <c:pt idx="1">
                  <c:v>29.001795653060057</c:v>
                </c:pt>
                <c:pt idx="2">
                  <c:v>29.001795653060057</c:v>
                </c:pt>
                <c:pt idx="3">
                  <c:v>29.001795653060057</c:v>
                </c:pt>
                <c:pt idx="4">
                  <c:v>29.001795653060057</c:v>
                </c:pt>
                <c:pt idx="5">
                  <c:v>29.001795653060057</c:v>
                </c:pt>
                <c:pt idx="6">
                  <c:v>29.001795653060057</c:v>
                </c:pt>
                <c:pt idx="7">
                  <c:v>29.001795653060057</c:v>
                </c:pt>
                <c:pt idx="8">
                  <c:v>29.001795653060057</c:v>
                </c:pt>
                <c:pt idx="9">
                  <c:v>29.001795653060057</c:v>
                </c:pt>
                <c:pt idx="10">
                  <c:v>29.001795653060057</c:v>
                </c:pt>
                <c:pt idx="11">
                  <c:v>29.001795653060057</c:v>
                </c:pt>
                <c:pt idx="12">
                  <c:v>29.001795653060057</c:v>
                </c:pt>
                <c:pt idx="13">
                  <c:v>29.001795653060057</c:v>
                </c:pt>
                <c:pt idx="14">
                  <c:v>29.001795653060057</c:v>
                </c:pt>
                <c:pt idx="15">
                  <c:v>29.001795653060057</c:v>
                </c:pt>
                <c:pt idx="16">
                  <c:v>29.001795653060057</c:v>
                </c:pt>
                <c:pt idx="17">
                  <c:v>29.001795653060057</c:v>
                </c:pt>
                <c:pt idx="18">
                  <c:v>29.001795653060057</c:v>
                </c:pt>
                <c:pt idx="19">
                  <c:v>29.001795653060057</c:v>
                </c:pt>
                <c:pt idx="20">
                  <c:v>29.001795653060057</c:v>
                </c:pt>
                <c:pt idx="21">
                  <c:v>29.001795653060057</c:v>
                </c:pt>
                <c:pt idx="22">
                  <c:v>29.001795653060057</c:v>
                </c:pt>
                <c:pt idx="23">
                  <c:v>29.001795653060057</c:v>
                </c:pt>
                <c:pt idx="24">
                  <c:v>29.001795653060057</c:v>
                </c:pt>
                <c:pt idx="25">
                  <c:v>29.001795653060057</c:v>
                </c:pt>
                <c:pt idx="26">
                  <c:v>29.001795653060057</c:v>
                </c:pt>
                <c:pt idx="27">
                  <c:v>29.001795653060057</c:v>
                </c:pt>
                <c:pt idx="28">
                  <c:v>29.001795653060057</c:v>
                </c:pt>
                <c:pt idx="29">
                  <c:v>27.368581919942315</c:v>
                </c:pt>
                <c:pt idx="30">
                  <c:v>25.349532455425965</c:v>
                </c:pt>
                <c:pt idx="31">
                  <c:v>23.447885267741434</c:v>
                </c:pt>
                <c:pt idx="32">
                  <c:v>21.65368971994571</c:v>
                </c:pt>
                <c:pt idx="33">
                  <c:v>19.958088789718939</c:v>
                </c:pt>
                <c:pt idx="34">
                  <c:v>18.353172846238142</c:v>
                </c:pt>
                <c:pt idx="35">
                  <c:v>16.831856277148283</c:v>
                </c:pt>
                <c:pt idx="36">
                  <c:v>15.387772905495353</c:v>
                </c:pt>
                <c:pt idx="37">
                  <c:v>14.015186940564618</c:v>
                </c:pt>
                <c:pt idx="38">
                  <c:v>12.708916835826951</c:v>
                </c:pt>
                <c:pt idx="39">
                  <c:v>11.464269922871654</c:v>
                </c:pt>
                <c:pt idx="40">
                  <c:v>10.276986083079578</c:v>
                </c:pt>
                <c:pt idx="41">
                  <c:v>9.1431890320200324</c:v>
                </c:pt>
                <c:pt idx="42">
                  <c:v>8.059344042684728</c:v>
                </c:pt>
                <c:pt idx="43">
                  <c:v>7.0222211360862836</c:v>
                </c:pt>
                <c:pt idx="44">
                  <c:v>6.0288629317263087</c:v>
                </c:pt>
                <c:pt idx="45">
                  <c:v>5.0765564839210136</c:v>
                </c:pt>
                <c:pt idx="46">
                  <c:v>4.1628085391341934</c:v>
                </c:pt>
                <c:pt idx="47">
                  <c:v>3.2853237391343431</c:v>
                </c:pt>
                <c:pt idx="48">
                  <c:v>2.4419853687577504</c:v>
                </c:pt>
                <c:pt idx="49">
                  <c:v>1.6308383083195412</c:v>
                </c:pt>
                <c:pt idx="50">
                  <c:v>0.85007390164893337</c:v>
                </c:pt>
                <c:pt idx="51">
                  <c:v>9.8016493232162105E-2</c:v>
                </c:pt>
                <c:pt idx="52">
                  <c:v>-0.62688857645245477</c:v>
                </c:pt>
                <c:pt idx="53">
                  <c:v>-1.326085698403471</c:v>
                </c:pt>
                <c:pt idx="54">
                  <c:v>-2.0009186011372382</c:v>
                </c:pt>
                <c:pt idx="55">
                  <c:v>-2.652638969729157</c:v>
                </c:pt>
                <c:pt idx="56">
                  <c:v>-3.2824141941774148</c:v>
                </c:pt>
                <c:pt idx="57">
                  <c:v>-3.8913343480030846</c:v>
                </c:pt>
                <c:pt idx="58">
                  <c:v>-4.4804184848513966</c:v>
                </c:pt>
                <c:pt idx="59">
                  <c:v>-5.0506203296058869</c:v>
                </c:pt>
                <c:pt idx="60">
                  <c:v>-5.6028334308723791</c:v>
                </c:pt>
                <c:pt idx="61">
                  <c:v>-6.1378958333835287</c:v>
                </c:pt>
                <c:pt idx="62">
                  <c:v>-6.6565943217123582</c:v>
                </c:pt>
                <c:pt idx="63">
                  <c:v>-7.1596682804911289</c:v>
                </c:pt>
                <c:pt idx="64">
                  <c:v>-7.6478132109671133</c:v>
                </c:pt>
                <c:pt idx="65">
                  <c:v>-8.1216839390678928</c:v>
                </c:pt>
                <c:pt idx="66">
                  <c:v>-8.5818975460938773</c:v>
                </c:pt>
                <c:pt idx="67">
                  <c:v>-9.0290360496196609</c:v>
                </c:pt>
                <c:pt idx="68">
                  <c:v>-9.4636488590949774</c:v>
                </c:pt>
                <c:pt idx="69">
                  <c:v>-9.8862550279299803</c:v>
                </c:pt>
                <c:pt idx="70">
                  <c:v>-10.297345321474772</c:v>
                </c:pt>
                <c:pt idx="71">
                  <c:v>-10.697384118216105</c:v>
                </c:pt>
                <c:pt idx="72">
                  <c:v>-11.086811159676037</c:v>
                </c:pt>
                <c:pt idx="73">
                  <c:v>-11.466043162875659</c:v>
                </c:pt>
                <c:pt idx="74">
                  <c:v>-11.835475307794299</c:v>
                </c:pt>
                <c:pt idx="75">
                  <c:v>-12.016591899980959</c:v>
                </c:pt>
                <c:pt idx="76">
                  <c:v>-12.016591899980959</c:v>
                </c:pt>
                <c:pt idx="77">
                  <c:v>-12.016591899980959</c:v>
                </c:pt>
                <c:pt idx="78">
                  <c:v>-12.016591899980959</c:v>
                </c:pt>
                <c:pt idx="79">
                  <c:v>-12.016591899980959</c:v>
                </c:pt>
                <c:pt idx="80">
                  <c:v>-12.016591899980959</c:v>
                </c:pt>
                <c:pt idx="81">
                  <c:v>-12.016591899980959</c:v>
                </c:pt>
                <c:pt idx="82">
                  <c:v>-12.016591899980959</c:v>
                </c:pt>
                <c:pt idx="83">
                  <c:v>-12.016591899980959</c:v>
                </c:pt>
                <c:pt idx="84">
                  <c:v>-12.016591899980959</c:v>
                </c:pt>
                <c:pt idx="85">
                  <c:v>-12.016591899980959</c:v>
                </c:pt>
                <c:pt idx="86">
                  <c:v>-12.016591899980959</c:v>
                </c:pt>
                <c:pt idx="87">
                  <c:v>-12.016591899980959</c:v>
                </c:pt>
                <c:pt idx="88">
                  <c:v>-12.016591899980959</c:v>
                </c:pt>
                <c:pt idx="89">
                  <c:v>-12.016591899980959</c:v>
                </c:pt>
                <c:pt idx="90">
                  <c:v>-12.016591899980959</c:v>
                </c:pt>
                <c:pt idx="91">
                  <c:v>-12.016591899980959</c:v>
                </c:pt>
                <c:pt idx="92">
                  <c:v>-12.016591899980959</c:v>
                </c:pt>
                <c:pt idx="93">
                  <c:v>-12.016591899980959</c:v>
                </c:pt>
                <c:pt idx="94">
                  <c:v>-12.016591899980959</c:v>
                </c:pt>
                <c:pt idx="95">
                  <c:v>-12.016591899980959</c:v>
                </c:pt>
                <c:pt idx="96">
                  <c:v>-12.016591899980959</c:v>
                </c:pt>
                <c:pt idx="97">
                  <c:v>-12.016591899980959</c:v>
                </c:pt>
                <c:pt idx="98">
                  <c:v>-12.016591899980959</c:v>
                </c:pt>
                <c:pt idx="99">
                  <c:v>-12.016591899980959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UI!$U$2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14.715086719305365</c:v>
                </c:pt>
                <c:pt idx="1">
                  <c:v>14.715086719305365</c:v>
                </c:pt>
                <c:pt idx="2">
                  <c:v>14.715086719305365</c:v>
                </c:pt>
                <c:pt idx="3">
                  <c:v>14.715086719305365</c:v>
                </c:pt>
                <c:pt idx="4">
                  <c:v>14.715086719305365</c:v>
                </c:pt>
                <c:pt idx="5">
                  <c:v>14.715086719305365</c:v>
                </c:pt>
                <c:pt idx="6">
                  <c:v>14.715086719305365</c:v>
                </c:pt>
                <c:pt idx="7">
                  <c:v>14.715086719305365</c:v>
                </c:pt>
                <c:pt idx="8">
                  <c:v>14.715086719305365</c:v>
                </c:pt>
                <c:pt idx="9">
                  <c:v>14.715086719305365</c:v>
                </c:pt>
                <c:pt idx="10">
                  <c:v>14.715086719305365</c:v>
                </c:pt>
                <c:pt idx="11">
                  <c:v>14.715086719305365</c:v>
                </c:pt>
                <c:pt idx="12">
                  <c:v>14.715086719305365</c:v>
                </c:pt>
                <c:pt idx="13">
                  <c:v>14.715086719305365</c:v>
                </c:pt>
                <c:pt idx="14">
                  <c:v>14.715086719305365</c:v>
                </c:pt>
                <c:pt idx="15">
                  <c:v>14.715086719305365</c:v>
                </c:pt>
                <c:pt idx="16">
                  <c:v>14.715086719305365</c:v>
                </c:pt>
                <c:pt idx="17">
                  <c:v>14.715086719305365</c:v>
                </c:pt>
                <c:pt idx="18">
                  <c:v>14.715086719305365</c:v>
                </c:pt>
                <c:pt idx="19">
                  <c:v>14.715086719305365</c:v>
                </c:pt>
                <c:pt idx="20">
                  <c:v>14.715086719305365</c:v>
                </c:pt>
                <c:pt idx="21">
                  <c:v>14.715086719305365</c:v>
                </c:pt>
                <c:pt idx="22">
                  <c:v>13.833467529910273</c:v>
                </c:pt>
                <c:pt idx="23">
                  <c:v>12.623545684359634</c:v>
                </c:pt>
                <c:pt idx="24">
                  <c:v>11.509457182988356</c:v>
                </c:pt>
                <c:pt idx="25">
                  <c:v>10.480249868908498</c:v>
                </c:pt>
                <c:pt idx="26">
                  <c:v>9.526579209431187</c:v>
                </c:pt>
                <c:pt idx="27">
                  <c:v>8.6404237662490573</c:v>
                </c:pt>
                <c:pt idx="28">
                  <c:v>7.8148590296318687</c:v>
                </c:pt>
                <c:pt idx="29">
                  <c:v>7.0438761111545176</c:v>
                </c:pt>
                <c:pt idx="30">
                  <c:v>6.3222352468196803</c:v>
                </c:pt>
                <c:pt idx="31">
                  <c:v>5.6453465549571504</c:v>
                </c:pt>
                <c:pt idx="32">
                  <c:v>5.0091723111452264</c:v>
                </c:pt>
                <c:pt idx="33">
                  <c:v>4.4101463425839746</c:v>
                </c:pt>
                <c:pt idx="34">
                  <c:v>3.8451071423650358</c:v>
                </c:pt>
                <c:pt idx="35">
                  <c:v>3.311242054318047</c:v>
                </c:pt>
                <c:pt idx="36">
                  <c:v>2.8060404480870105</c:v>
                </c:pt>
                <c:pt idx="37">
                  <c:v>2.3272542391890827</c:v>
                </c:pt>
                <c:pt idx="38">
                  <c:v>1.8728644441405375</c:v>
                </c:pt>
                <c:pt idx="39">
                  <c:v>1.4410527210871358</c:v>
                </c:pt>
                <c:pt idx="40">
                  <c:v>1.03017704992501</c:v>
                </c:pt>
                <c:pt idx="41">
                  <c:v>0.63875086608800125</c:v>
                </c:pt>
                <c:pt idx="42">
                  <c:v>0.2654250890335863</c:v>
                </c:pt>
                <c:pt idx="43">
                  <c:v>-9.1027412485450654E-2</c:v>
                </c:pt>
                <c:pt idx="44">
                  <c:v>-0.43172529532049531</c:v>
                </c:pt>
                <c:pt idx="45">
                  <c:v>-0.75769046875186064</c:v>
                </c:pt>
                <c:pt idx="46">
                  <c:v>-1.0698583322100319</c:v>
                </c:pt>
                <c:pt idx="47">
                  <c:v>-1.3690867399265656</c:v>
                </c:pt>
                <c:pt idx="48">
                  <c:v>-1.6561638734568422</c:v>
                </c:pt>
                <c:pt idx="49">
                  <c:v>-1.9318151742101399</c:v>
                </c:pt>
                <c:pt idx="50">
                  <c:v>-2.196709464375</c:v>
                </c:pt>
                <c:pt idx="51">
                  <c:v>-2.4514643649704961</c:v>
                </c:pt>
                <c:pt idx="52">
                  <c:v>-2.6966511034190059</c:v>
                </c:pt>
                <c:pt idx="53">
                  <c:v>-2.9327987894111995</c:v>
                </c:pt>
                <c:pt idx="54">
                  <c:v>-3.1603982264282005</c:v>
                </c:pt>
                <c:pt idx="55">
                  <c:v>-3.3799053167053081</c:v>
                </c:pt>
                <c:pt idx="56">
                  <c:v>-3.5917441093469913</c:v>
                </c:pt>
                <c:pt idx="57">
                  <c:v>-3.7963095344758484</c:v>
                </c:pt>
                <c:pt idx="58">
                  <c:v>-3.9939698605082805</c:v>
                </c:pt>
                <c:pt idx="59">
                  <c:v>-4.1850689067243634</c:v>
                </c:pt>
                <c:pt idx="60">
                  <c:v>-4.3699280390981299</c:v>
                </c:pt>
                <c:pt idx="61">
                  <c:v>-4.5488479737603216</c:v>
                </c:pt>
                <c:pt idx="62">
                  <c:v>-4.7221104093831219</c:v>
                </c:pt>
                <c:pt idx="63">
                  <c:v>-4.8899795071255907</c:v>
                </c:pt>
                <c:pt idx="64">
                  <c:v>-5.0527032344932783</c:v>
                </c:pt>
                <c:pt idx="65">
                  <c:v>-5.2105145874907883</c:v>
                </c:pt>
                <c:pt idx="66">
                  <c:v>-5.3636327037355951</c:v>
                </c:pt>
                <c:pt idx="67">
                  <c:v>-5.5122638777164559</c:v>
                </c:pt>
                <c:pt idx="68">
                  <c:v>-5.6566024880879011</c:v>
                </c:pt>
                <c:pt idx="69">
                  <c:v>-5.7968318457657926</c:v>
                </c:pt>
                <c:pt idx="70">
                  <c:v>-5.9331249706048528</c:v>
                </c:pt>
                <c:pt idx="71">
                  <c:v>-6.0656453035775026</c:v>
                </c:pt>
                <c:pt idx="72">
                  <c:v>-6.1945473606176611</c:v>
                </c:pt>
                <c:pt idx="73">
                  <c:v>-6.3199773336290717</c:v>
                </c:pt>
                <c:pt idx="74">
                  <c:v>-6.4420736435730426</c:v>
                </c:pt>
                <c:pt idx="75">
                  <c:v>-6.5609674500348198</c:v>
                </c:pt>
                <c:pt idx="76">
                  <c:v>-6.6767831212122939</c:v>
                </c:pt>
                <c:pt idx="77">
                  <c:v>-6.7896386678674689</c:v>
                </c:pt>
                <c:pt idx="78">
                  <c:v>-6.8996461444237696</c:v>
                </c:pt>
                <c:pt idx="79">
                  <c:v>-7.0069120200749992</c:v>
                </c:pt>
                <c:pt idx="80">
                  <c:v>-7.1115375224894866</c:v>
                </c:pt>
                <c:pt idx="81">
                  <c:v>-7.2136189564417625</c:v>
                </c:pt>
                <c:pt idx="82">
                  <c:v>-7.3132479994799349</c:v>
                </c:pt>
                <c:pt idx="83">
                  <c:v>-7.4105119765367826</c:v>
                </c:pt>
                <c:pt idx="84">
                  <c:v>-7.5054941152134838</c:v>
                </c:pt>
                <c:pt idx="85">
                  <c:v>-7.5982737833046059</c:v>
                </c:pt>
                <c:pt idx="86">
                  <c:v>-7.6889267099890866</c:v>
                </c:pt>
                <c:pt idx="87">
                  <c:v>-7.7775251919828419</c:v>
                </c:pt>
                <c:pt idx="88">
                  <c:v>-7.8641382858324356</c:v>
                </c:pt>
                <c:pt idx="89">
                  <c:v>-7.948831987424791</c:v>
                </c:pt>
                <c:pt idx="90">
                  <c:v>-8.0316693996935555</c:v>
                </c:pt>
                <c:pt idx="91">
                  <c:v>-8.1127108894178352</c:v>
                </c:pt>
                <c:pt idx="92">
                  <c:v>-8.1920142339320385</c:v>
                </c:pt>
                <c:pt idx="93">
                  <c:v>-8.2696347584961512</c:v>
                </c:pt>
                <c:pt idx="94">
                  <c:v>-8.3456254650128443</c:v>
                </c:pt>
                <c:pt idx="95">
                  <c:v>-8.4200371527206652</c:v>
                </c:pt>
                <c:pt idx="96">
                  <c:v>-8.4929185314409334</c:v>
                </c:pt>
                <c:pt idx="97">
                  <c:v>-8.5643163279088093</c:v>
                </c:pt>
                <c:pt idx="98">
                  <c:v>-8.6342753856763483</c:v>
                </c:pt>
                <c:pt idx="99">
                  <c:v>-8.7028387590363359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UI!$V$2</c:f>
              <c:strCache>
                <c:ptCount val="1"/>
                <c:pt idx="0">
                  <c:v>LDO-42STH48-1684MAH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17.968056041542809</c:v>
                </c:pt>
                <c:pt idx="1">
                  <c:v>17.968056041542809</c:v>
                </c:pt>
                <c:pt idx="2">
                  <c:v>17.968056041542809</c:v>
                </c:pt>
                <c:pt idx="3">
                  <c:v>17.968056041542809</c:v>
                </c:pt>
                <c:pt idx="4">
                  <c:v>17.968056041542809</c:v>
                </c:pt>
                <c:pt idx="5">
                  <c:v>17.968056041542809</c:v>
                </c:pt>
                <c:pt idx="6">
                  <c:v>17.968056041542809</c:v>
                </c:pt>
                <c:pt idx="7">
                  <c:v>17.968056041542809</c:v>
                </c:pt>
                <c:pt idx="8">
                  <c:v>17.968056041542809</c:v>
                </c:pt>
                <c:pt idx="9">
                  <c:v>17.968056041542809</c:v>
                </c:pt>
                <c:pt idx="10">
                  <c:v>17.968056041542809</c:v>
                </c:pt>
                <c:pt idx="11">
                  <c:v>17.968056041542809</c:v>
                </c:pt>
                <c:pt idx="12">
                  <c:v>17.968056041542809</c:v>
                </c:pt>
                <c:pt idx="13">
                  <c:v>17.968056041542809</c:v>
                </c:pt>
                <c:pt idx="14">
                  <c:v>17.968056041542809</c:v>
                </c:pt>
                <c:pt idx="15">
                  <c:v>17.968056041542809</c:v>
                </c:pt>
                <c:pt idx="16">
                  <c:v>17.968056041542809</c:v>
                </c:pt>
                <c:pt idx="17">
                  <c:v>17.968056041542809</c:v>
                </c:pt>
                <c:pt idx="18">
                  <c:v>17.968056041542809</c:v>
                </c:pt>
                <c:pt idx="19">
                  <c:v>17.968056041542809</c:v>
                </c:pt>
                <c:pt idx="20">
                  <c:v>17.968056041542809</c:v>
                </c:pt>
                <c:pt idx="21">
                  <c:v>17.968056041542809</c:v>
                </c:pt>
                <c:pt idx="22">
                  <c:v>17.968056041542809</c:v>
                </c:pt>
                <c:pt idx="23">
                  <c:v>17.5007188591321</c:v>
                </c:pt>
                <c:pt idx="24">
                  <c:v>16.080853416383363</c:v>
                </c:pt>
                <c:pt idx="25">
                  <c:v>14.766649194061484</c:v>
                </c:pt>
                <c:pt idx="26">
                  <c:v>13.546734911433115</c:v>
                </c:pt>
                <c:pt idx="27">
                  <c:v>12.411314485929696</c:v>
                </c:pt>
                <c:pt idx="28">
                  <c:v>11.351903408803208</c:v>
                </c:pt>
                <c:pt idx="29">
                  <c:v>10.361116350079625</c:v>
                </c:pt>
                <c:pt idx="30">
                  <c:v>9.4324947427405181</c:v>
                </c:pt>
                <c:pt idx="31">
                  <c:v>8.5603658336551494</c:v>
                </c:pt>
                <c:pt idx="32">
                  <c:v>7.7397266990641551</c:v>
                </c:pt>
                <c:pt idx="33">
                  <c:v>6.9661482139251607</c:v>
                </c:pt>
                <c:pt idx="34">
                  <c:v>6.2356950817718015</c:v>
                </c:pt>
                <c:pt idx="35">
                  <c:v>5.5448588763776225</c:v>
                </c:pt>
                <c:pt idx="36">
                  <c:v>4.8905016904543057</c:v>
                </c:pt>
                <c:pt idx="37">
                  <c:v>4.2698084814757387</c:v>
                </c:pt>
                <c:pt idx="38">
                  <c:v>3.6802465878906663</c:v>
                </c:pt>
                <c:pt idx="39">
                  <c:v>3.1195311877919387</c:v>
                </c:pt>
                <c:pt idx="40">
                  <c:v>2.585595706695619</c:v>
                </c:pt>
                <c:pt idx="41">
                  <c:v>2.0765663664272314</c:v>
                </c:pt>
                <c:pt idx="42">
                  <c:v>1.5907402144380143</c:v>
                </c:pt>
                <c:pt idx="43">
                  <c:v>1.1265660906525525</c:v>
                </c:pt>
                <c:pt idx="44">
                  <c:v>0.68262808362212013</c:v>
                </c:pt>
                <c:pt idx="45">
                  <c:v>0.25763110425377711</c:v>
                </c:pt>
                <c:pt idx="46">
                  <c:v>-0.14961173249892923</c:v>
                </c:pt>
                <c:pt idx="47">
                  <c:v>-0.54019017692017535</c:v>
                </c:pt>
                <c:pt idx="48">
                  <c:v>-0.91510658219452168</c:v>
                </c:pt>
                <c:pt idx="49">
                  <c:v>-1.2752844936656604</c:v>
                </c:pt>
                <c:pt idx="50">
                  <c:v>-1.6215762446543085</c:v>
                </c:pt>
                <c:pt idx="51">
                  <c:v>-1.9547696903524843</c:v>
                </c:pt>
                <c:pt idx="52">
                  <c:v>-2.2755941917825959</c:v>
                </c:pt>
                <c:pt idx="53">
                  <c:v>-2.5847259454836724</c:v>
                </c:pt>
                <c:pt idx="54">
                  <c:v>-2.8827927408905607</c:v>
                </c:pt>
                <c:pt idx="55">
                  <c:v>-3.1703782158429181</c:v>
                </c:pt>
                <c:pt idx="56">
                  <c:v>-3.4480256709245145</c:v>
                </c:pt>
                <c:pt idx="57">
                  <c:v>-3.7162414950853702</c:v>
                </c:pt>
                <c:pt idx="58">
                  <c:v>-3.9754982479912027</c:v>
                </c:pt>
                <c:pt idx="59">
                  <c:v>-4.2262374385724248</c:v>
                </c:pt>
                <c:pt idx="60">
                  <c:v>-4.4688720341416301</c:v>
                </c:pt>
                <c:pt idx="61">
                  <c:v>-4.7037887300755035</c:v>
                </c:pt>
                <c:pt idx="62">
                  <c:v>-4.9313500063003772</c:v>
                </c:pt>
                <c:pt idx="63">
                  <c:v>-5.1518959935849242</c:v>
                </c:pt>
                <c:pt idx="64">
                  <c:v>-5.3657461698500777</c:v>
                </c:pt>
                <c:pt idx="65">
                  <c:v>-5.5732009042884512</c:v>
                </c:pt>
                <c:pt idx="66">
                  <c:v>-5.7745428649886943</c:v>
                </c:pt>
                <c:pt idx="67">
                  <c:v>-5.9700383039369793</c:v>
                </c:pt>
                <c:pt idx="68">
                  <c:v>-6.1599382316797833</c:v>
                </c:pt>
                <c:pt idx="69">
                  <c:v>-6.3444794925454389</c:v>
                </c:pt>
                <c:pt idx="70">
                  <c:v>-6.5238857501090681</c:v>
                </c:pt>
                <c:pt idx="71">
                  <c:v>-6.6983683915223811</c:v>
                </c:pt>
                <c:pt idx="72">
                  <c:v>-6.8681273583961548</c:v>
                </c:pt>
                <c:pt idx="73">
                  <c:v>-7.0333519111018905</c:v>
                </c:pt>
                <c:pt idx="74">
                  <c:v>-7.1942213326350828</c:v>
                </c:pt>
                <c:pt idx="75">
                  <c:v>-7.350905577543414</c:v>
                </c:pt>
                <c:pt idx="76">
                  <c:v>-7.5035658708577788</c:v>
                </c:pt>
                <c:pt idx="77">
                  <c:v>-7.6523552614632608</c:v>
                </c:pt>
                <c:pt idx="78">
                  <c:v>-7.7974191339027552</c:v>
                </c:pt>
                <c:pt idx="79">
                  <c:v>-7.9388956822110019</c:v>
                </c:pt>
                <c:pt idx="80">
                  <c:v>-8.0769163490252414</c:v>
                </c:pt>
                <c:pt idx="81">
                  <c:v>-8.2116062329053658</c:v>
                </c:pt>
                <c:pt idx="82">
                  <c:v>-8.3430844665166966</c:v>
                </c:pt>
                <c:pt idx="83">
                  <c:v>-8.4714645680784457</c:v>
                </c:pt>
                <c:pt idx="84">
                  <c:v>-8.5968547682570602</c:v>
                </c:pt>
                <c:pt idx="85">
                  <c:v>-8.7193583144829603</c:v>
                </c:pt>
                <c:pt idx="86">
                  <c:v>-8.8390737544891049</c:v>
                </c:pt>
                <c:pt idx="87">
                  <c:v>-8.9560952007078676</c:v>
                </c:pt>
                <c:pt idx="88">
                  <c:v>-9.0705125770171158</c:v>
                </c:pt>
                <c:pt idx="89">
                  <c:v>-9.1824118491950646</c:v>
                </c:pt>
                <c:pt idx="90">
                  <c:v>-9.2918752403251688</c:v>
                </c:pt>
                <c:pt idx="91">
                  <c:v>-9.3989814322853356</c:v>
                </c:pt>
                <c:pt idx="92">
                  <c:v>-9.5038057543591048</c:v>
                </c:pt>
                <c:pt idx="93">
                  <c:v>-9.6064203599189604</c:v>
                </c:pt>
                <c:pt idx="94">
                  <c:v>-9.6132735199847676</c:v>
                </c:pt>
                <c:pt idx="95">
                  <c:v>-9.6132735199847676</c:v>
                </c:pt>
                <c:pt idx="96">
                  <c:v>-9.6132735199847676</c:v>
                </c:pt>
                <c:pt idx="97">
                  <c:v>-9.6132735199847676</c:v>
                </c:pt>
                <c:pt idx="98">
                  <c:v>-9.6132735199847676</c:v>
                </c:pt>
                <c:pt idx="99">
                  <c:v>-9.6132735199847676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UI!$W$2</c:f>
              <c:strCache>
                <c:ptCount val="1"/>
                <c:pt idx="0">
                  <c:v>LDO-42STH47-2504AC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28.505538361203357</c:v>
                </c:pt>
                <c:pt idx="1">
                  <c:v>28.505538361203357</c:v>
                </c:pt>
                <c:pt idx="2">
                  <c:v>28.505538361203357</c:v>
                </c:pt>
                <c:pt idx="3">
                  <c:v>28.505538361203357</c:v>
                </c:pt>
                <c:pt idx="4">
                  <c:v>28.505538361203357</c:v>
                </c:pt>
                <c:pt idx="5">
                  <c:v>28.505538361203357</c:v>
                </c:pt>
                <c:pt idx="6">
                  <c:v>28.505538361203357</c:v>
                </c:pt>
                <c:pt idx="7">
                  <c:v>28.505538361203357</c:v>
                </c:pt>
                <c:pt idx="8">
                  <c:v>28.505538361203357</c:v>
                </c:pt>
                <c:pt idx="9">
                  <c:v>28.505538361203357</c:v>
                </c:pt>
                <c:pt idx="10">
                  <c:v>28.505538361203357</c:v>
                </c:pt>
                <c:pt idx="11">
                  <c:v>28.505538361203357</c:v>
                </c:pt>
                <c:pt idx="12">
                  <c:v>28.505538361203357</c:v>
                </c:pt>
                <c:pt idx="13">
                  <c:v>28.505538361203357</c:v>
                </c:pt>
                <c:pt idx="14">
                  <c:v>28.505538361203357</c:v>
                </c:pt>
                <c:pt idx="15">
                  <c:v>28.505538361203357</c:v>
                </c:pt>
                <c:pt idx="16">
                  <c:v>28.505538361203357</c:v>
                </c:pt>
                <c:pt idx="17">
                  <c:v>28.505538361203357</c:v>
                </c:pt>
                <c:pt idx="18">
                  <c:v>28.505538361203357</c:v>
                </c:pt>
                <c:pt idx="19">
                  <c:v>28.505538361203357</c:v>
                </c:pt>
                <c:pt idx="20">
                  <c:v>28.505538361203357</c:v>
                </c:pt>
                <c:pt idx="21">
                  <c:v>28.505538361203357</c:v>
                </c:pt>
                <c:pt idx="22">
                  <c:v>28.505538361203357</c:v>
                </c:pt>
                <c:pt idx="23">
                  <c:v>28.505538361203357</c:v>
                </c:pt>
                <c:pt idx="24">
                  <c:v>28.505538361203357</c:v>
                </c:pt>
                <c:pt idx="25">
                  <c:v>28.505538361203357</c:v>
                </c:pt>
                <c:pt idx="26">
                  <c:v>28.505538361203357</c:v>
                </c:pt>
                <c:pt idx="27">
                  <c:v>28.505538361203357</c:v>
                </c:pt>
                <c:pt idx="28">
                  <c:v>28.505538361203357</c:v>
                </c:pt>
                <c:pt idx="29">
                  <c:v>28.505538361203357</c:v>
                </c:pt>
                <c:pt idx="30">
                  <c:v>28.505538361203357</c:v>
                </c:pt>
                <c:pt idx="31">
                  <c:v>28.505538361203357</c:v>
                </c:pt>
                <c:pt idx="32">
                  <c:v>28.505538361203357</c:v>
                </c:pt>
                <c:pt idx="33">
                  <c:v>28.505538361203357</c:v>
                </c:pt>
                <c:pt idx="34">
                  <c:v>28.505538361203357</c:v>
                </c:pt>
                <c:pt idx="35">
                  <c:v>28.505538361203357</c:v>
                </c:pt>
                <c:pt idx="36">
                  <c:v>28.505538361203357</c:v>
                </c:pt>
                <c:pt idx="37">
                  <c:v>28.505538361203357</c:v>
                </c:pt>
                <c:pt idx="38">
                  <c:v>28.267985492283039</c:v>
                </c:pt>
                <c:pt idx="39">
                  <c:v>26.80065399632479</c:v>
                </c:pt>
                <c:pt idx="40">
                  <c:v>25.399387116591797</c:v>
                </c:pt>
                <c:pt idx="41">
                  <c:v>24.059821377867095</c:v>
                </c:pt>
                <c:pt idx="42">
                  <c:v>22.777969295603505</c:v>
                </c:pt>
                <c:pt idx="43">
                  <c:v>21.550179732108745</c:v>
                </c:pt>
                <c:pt idx="44">
                  <c:v>20.373103165111473</c:v>
                </c:pt>
                <c:pt idx="45">
                  <c:v>19.243661172918948</c:v>
                </c:pt>
                <c:pt idx="46">
                  <c:v>18.159019550773806</c:v>
                </c:pt>
                <c:pt idx="47">
                  <c:v>17.116564564091455</c:v>
                </c:pt>
                <c:pt idx="48">
                  <c:v>16.113881919697988</c:v>
                </c:pt>
                <c:pt idx="49">
                  <c:v>15.148738098916988</c:v>
                </c:pt>
                <c:pt idx="50">
                  <c:v>14.219063748708857</c:v>
                </c:pt>
                <c:pt idx="51">
                  <c:v>13.322938870918749</c:v>
                </c:pt>
                <c:pt idx="52">
                  <c:v>12.458579586547236</c:v>
                </c:pt>
                <c:pt idx="53">
                  <c:v>11.624326283038227</c:v>
                </c:pt>
                <c:pt idx="54">
                  <c:v>10.818632978871451</c:v>
                </c:pt>
                <c:pt idx="55">
                  <c:v>10.040057762057058</c:v>
                </c:pt>
                <c:pt idx="56">
                  <c:v>9.2872541781169193</c:v>
                </c:pt>
                <c:pt idx="57">
                  <c:v>8.5589634593421255</c:v>
                </c:pt>
                <c:pt idx="58">
                  <c:v>7.8540075009847445</c:v>
                </c:pt>
                <c:pt idx="59">
                  <c:v>7.1712825019420787</c:v>
                </c:pt>
                <c:pt idx="60">
                  <c:v>6.5097531977297241</c:v>
                </c:pt>
                <c:pt idx="61">
                  <c:v>5.8684476223689757</c:v>
                </c:pt>
                <c:pt idx="62">
                  <c:v>5.246452343447352</c:v>
                </c:pt>
                <c:pt idx="63">
                  <c:v>4.6429081212248917</c:v>
                </c:pt>
                <c:pt idx="64">
                  <c:v>4.0570059484032175</c:v>
                </c:pt>
                <c:pt idx="65">
                  <c:v>3.4879834321735643</c:v>
                </c:pt>
                <c:pt idx="66">
                  <c:v>2.9351214845206268</c:v>
                </c:pt>
                <c:pt idx="67">
                  <c:v>2.3977412905699467</c:v>
                </c:pt>
                <c:pt idx="68">
                  <c:v>1.8752015281040215</c:v>
                </c:pt>
                <c:pt idx="69">
                  <c:v>1.3668958143006282</c:v>
                </c:pt>
                <c:pt idx="70">
                  <c:v>0.87225035832093134</c:v>
                </c:pt>
                <c:pt idx="71">
                  <c:v>0.39072180064205675</c:v>
                </c:pt>
                <c:pt idx="72">
                  <c:v>-7.820477797129044E-2</c:v>
                </c:pt>
                <c:pt idx="73">
                  <c:v>-0.53501769319393588</c:v>
                </c:pt>
                <c:pt idx="74">
                  <c:v>-0.98018035333939224</c:v>
                </c:pt>
                <c:pt idx="75">
                  <c:v>-1.4141328274167471</c:v>
                </c:pt>
                <c:pt idx="76">
                  <c:v>-1.8372932961991228</c:v>
                </c:pt>
                <c:pt idx="77">
                  <c:v>-2.2500593963614701</c:v>
                </c:pt>
                <c:pt idx="78">
                  <c:v>-2.6528094667693249</c:v>
                </c:pt>
                <c:pt idx="79">
                  <c:v>-3.0459037051291631</c:v>
                </c:pt>
                <c:pt idx="80">
                  <c:v>-3.4296852424330071</c:v>
                </c:pt>
                <c:pt idx="81">
                  <c:v>-3.8044811419337403</c:v>
                </c:pt>
                <c:pt idx="82">
                  <c:v>-4.1706033287640842</c:v>
                </c:pt>
                <c:pt idx="83">
                  <c:v>-4.5283494557527533</c:v>
                </c:pt>
                <c:pt idx="84">
                  <c:v>-4.8780037104888212</c:v>
                </c:pt>
                <c:pt idx="85">
                  <c:v>-5.2198375682334692</c:v>
                </c:pt>
                <c:pt idx="86">
                  <c:v>-5.5541104948713977</c:v>
                </c:pt>
                <c:pt idx="87">
                  <c:v>-5.881070603727256</c:v>
                </c:pt>
                <c:pt idx="88">
                  <c:v>-6.2009552697414136</c:v>
                </c:pt>
                <c:pt idx="89">
                  <c:v>-6.5139917042000928</c:v>
                </c:pt>
                <c:pt idx="90">
                  <c:v>-6.8203974929441884</c:v>
                </c:pt>
                <c:pt idx="91">
                  <c:v>-7.1203811007359894</c:v>
                </c:pt>
                <c:pt idx="92">
                  <c:v>-7.4141423442406351</c:v>
                </c:pt>
                <c:pt idx="93">
                  <c:v>-7.7018728358774444</c:v>
                </c:pt>
                <c:pt idx="94">
                  <c:v>-7.9837564006129558</c:v>
                </c:pt>
                <c:pt idx="95">
                  <c:v>-8.259969467600758</c:v>
                </c:pt>
                <c:pt idx="96">
                  <c:v>-8.53068143842148</c:v>
                </c:pt>
                <c:pt idx="97">
                  <c:v>-8.796055033537959</c:v>
                </c:pt>
                <c:pt idx="98">
                  <c:v>-9.0562466184544874</c:v>
                </c:pt>
                <c:pt idx="99">
                  <c:v>-9.3114065109538444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UI!$X$2</c:f>
              <c:strCache>
                <c:ptCount val="1"/>
                <c:pt idx="0">
                  <c:v>LDO-42STH60-2004AH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44.278816735581543</c:v>
                </c:pt>
                <c:pt idx="1">
                  <c:v>44.278816735581543</c:v>
                </c:pt>
                <c:pt idx="2">
                  <c:v>44.278816735581543</c:v>
                </c:pt>
                <c:pt idx="3">
                  <c:v>44.278816735581543</c:v>
                </c:pt>
                <c:pt idx="4">
                  <c:v>44.278816735581543</c:v>
                </c:pt>
                <c:pt idx="5">
                  <c:v>44.278816735581543</c:v>
                </c:pt>
                <c:pt idx="6">
                  <c:v>44.278816735581543</c:v>
                </c:pt>
                <c:pt idx="7">
                  <c:v>44.278816735581543</c:v>
                </c:pt>
                <c:pt idx="8">
                  <c:v>44.278816735581543</c:v>
                </c:pt>
                <c:pt idx="9">
                  <c:v>44.278816735581543</c:v>
                </c:pt>
                <c:pt idx="10">
                  <c:v>44.278816735581543</c:v>
                </c:pt>
                <c:pt idx="11">
                  <c:v>44.278816735581543</c:v>
                </c:pt>
                <c:pt idx="12">
                  <c:v>44.278816735581543</c:v>
                </c:pt>
                <c:pt idx="13">
                  <c:v>44.278816735581543</c:v>
                </c:pt>
                <c:pt idx="14">
                  <c:v>44.278816735581543</c:v>
                </c:pt>
                <c:pt idx="15">
                  <c:v>44.278816735581543</c:v>
                </c:pt>
                <c:pt idx="16">
                  <c:v>44.278816735581543</c:v>
                </c:pt>
                <c:pt idx="17">
                  <c:v>44.278816735581543</c:v>
                </c:pt>
                <c:pt idx="18">
                  <c:v>44.278816735581543</c:v>
                </c:pt>
                <c:pt idx="19">
                  <c:v>44.278816735581543</c:v>
                </c:pt>
                <c:pt idx="20">
                  <c:v>44.278816735581543</c:v>
                </c:pt>
                <c:pt idx="21">
                  <c:v>44.278816735581543</c:v>
                </c:pt>
                <c:pt idx="22">
                  <c:v>44.278816735581543</c:v>
                </c:pt>
                <c:pt idx="23">
                  <c:v>42.064815136440842</c:v>
                </c:pt>
                <c:pt idx="24">
                  <c:v>38.16330517699037</c:v>
                </c:pt>
                <c:pt idx="25">
                  <c:v>34.532184973821167</c:v>
                </c:pt>
                <c:pt idx="26">
                  <c:v>31.144287336151386</c:v>
                </c:pt>
                <c:pt idx="27">
                  <c:v>27.975966600846021</c:v>
                </c:pt>
                <c:pt idx="28">
                  <c:v>25.006545948361897</c:v>
                </c:pt>
                <c:pt idx="29">
                  <c:v>22.217865639698239</c:v>
                </c:pt>
                <c:pt idx="30">
                  <c:v>19.593911309612899</c:v>
                </c:pt>
                <c:pt idx="31">
                  <c:v>17.120506239817793</c:v>
                </c:pt>
                <c:pt idx="32">
                  <c:v>14.785055122481776</c:v>
                </c:pt>
                <c:pt idx="33">
                  <c:v>12.576329535211254</c:v>
                </c:pt>
                <c:pt idx="34">
                  <c:v>10.484287415079788</c:v>
                </c:pt>
                <c:pt idx="35">
                  <c:v>8.4999204070784025</c:v>
                </c:pt>
                <c:pt idx="36">
                  <c:v>6.6151241916353669</c:v>
                </c:pt>
                <c:pt idx="37">
                  <c:v>4.8225878543547438</c:v>
                </c:pt>
                <c:pt idx="38">
                  <c:v>3.1156991135353671</c:v>
                </c:pt>
                <c:pt idx="39">
                  <c:v>1.4884628154433859</c:v>
                </c:pt>
                <c:pt idx="40">
                  <c:v>-6.456942025496204E-2</c:v>
                </c:pt>
                <c:pt idx="41">
                  <c:v>-1.5483601448440272</c:v>
                </c:pt>
                <c:pt idx="42">
                  <c:v>-2.9674390511034208</c:v>
                </c:pt>
                <c:pt idx="43">
                  <c:v>-4.3259491612234058</c:v>
                </c:pt>
                <c:pt idx="44">
                  <c:v>-5.627687224150371</c:v>
                </c:pt>
                <c:pt idx="45">
                  <c:v>-6.8761391519841455</c:v>
                </c:pt>
                <c:pt idx="46">
                  <c:v>-8.0745111919320003</c:v>
                </c:pt>
                <c:pt idx="47">
                  <c:v>-9.225757420764543</c:v>
                </c:pt>
                <c:pt idx="48">
                  <c:v>-10.332604058173086</c:v>
                </c:pt>
                <c:pt idx="49">
                  <c:v>-11.397571020298685</c:v>
                </c:pt>
                <c:pt idx="50">
                  <c:v>-12.422991072129149</c:v>
                </c:pt>
                <c:pt idx="51">
                  <c:v>-13.411026885151109</c:v>
                </c:pt>
                <c:pt idx="52">
                  <c:v>-14.363686262764126</c:v>
                </c:pt>
                <c:pt idx="53">
                  <c:v>-14.419910279977152</c:v>
                </c:pt>
                <c:pt idx="54">
                  <c:v>-14.419910279977152</c:v>
                </c:pt>
                <c:pt idx="55">
                  <c:v>-14.419910279977152</c:v>
                </c:pt>
                <c:pt idx="56">
                  <c:v>-14.419910279977152</c:v>
                </c:pt>
                <c:pt idx="57">
                  <c:v>-14.419910279977152</c:v>
                </c:pt>
                <c:pt idx="58">
                  <c:v>-14.419910279977152</c:v>
                </c:pt>
                <c:pt idx="59">
                  <c:v>-14.419910279977152</c:v>
                </c:pt>
                <c:pt idx="60">
                  <c:v>-14.419910279977152</c:v>
                </c:pt>
                <c:pt idx="61">
                  <c:v>-14.419910279977152</c:v>
                </c:pt>
                <c:pt idx="62">
                  <c:v>-14.419910279977152</c:v>
                </c:pt>
                <c:pt idx="63">
                  <c:v>-14.419910279977152</c:v>
                </c:pt>
                <c:pt idx="64">
                  <c:v>-14.419910279977152</c:v>
                </c:pt>
                <c:pt idx="65">
                  <c:v>-14.419910279977152</c:v>
                </c:pt>
                <c:pt idx="66">
                  <c:v>-14.419910279977152</c:v>
                </c:pt>
                <c:pt idx="67">
                  <c:v>-14.419910279977152</c:v>
                </c:pt>
                <c:pt idx="68">
                  <c:v>-14.419910279977152</c:v>
                </c:pt>
                <c:pt idx="69">
                  <c:v>-14.419910279977152</c:v>
                </c:pt>
                <c:pt idx="70">
                  <c:v>-14.419910279977152</c:v>
                </c:pt>
                <c:pt idx="71">
                  <c:v>-14.419910279977152</c:v>
                </c:pt>
                <c:pt idx="72">
                  <c:v>-14.419910279977152</c:v>
                </c:pt>
                <c:pt idx="73">
                  <c:v>-14.419910279977152</c:v>
                </c:pt>
                <c:pt idx="74">
                  <c:v>-14.419910279977152</c:v>
                </c:pt>
                <c:pt idx="75">
                  <c:v>-14.419910279977152</c:v>
                </c:pt>
                <c:pt idx="76">
                  <c:v>-14.419910279977152</c:v>
                </c:pt>
                <c:pt idx="77">
                  <c:v>-14.419910279977152</c:v>
                </c:pt>
                <c:pt idx="78">
                  <c:v>-14.419910279977152</c:v>
                </c:pt>
                <c:pt idx="79">
                  <c:v>-14.419910279977152</c:v>
                </c:pt>
                <c:pt idx="80">
                  <c:v>-14.419910279977152</c:v>
                </c:pt>
                <c:pt idx="81">
                  <c:v>-14.419910279977152</c:v>
                </c:pt>
                <c:pt idx="82">
                  <c:v>-14.419910279977152</c:v>
                </c:pt>
                <c:pt idx="83">
                  <c:v>-14.419910279977152</c:v>
                </c:pt>
                <c:pt idx="84">
                  <c:v>-14.419910279977152</c:v>
                </c:pt>
                <c:pt idx="85">
                  <c:v>-14.419910279977152</c:v>
                </c:pt>
                <c:pt idx="86">
                  <c:v>-14.419910279977152</c:v>
                </c:pt>
                <c:pt idx="87">
                  <c:v>-14.419910279977152</c:v>
                </c:pt>
                <c:pt idx="88">
                  <c:v>-14.419910279977152</c:v>
                </c:pt>
                <c:pt idx="89">
                  <c:v>-14.419910279977152</c:v>
                </c:pt>
                <c:pt idx="90">
                  <c:v>-14.419910279977152</c:v>
                </c:pt>
                <c:pt idx="91">
                  <c:v>-14.419910279977152</c:v>
                </c:pt>
                <c:pt idx="92">
                  <c:v>-14.419910279977152</c:v>
                </c:pt>
                <c:pt idx="93">
                  <c:v>-14.419910279977152</c:v>
                </c:pt>
                <c:pt idx="94">
                  <c:v>-14.419910279977152</c:v>
                </c:pt>
                <c:pt idx="95">
                  <c:v>-14.419910279977152</c:v>
                </c:pt>
                <c:pt idx="96">
                  <c:v>-14.419910279977152</c:v>
                </c:pt>
                <c:pt idx="97">
                  <c:v>-14.419910279977152</c:v>
                </c:pt>
                <c:pt idx="98">
                  <c:v>-14.419910279977152</c:v>
                </c:pt>
                <c:pt idx="99">
                  <c:v>-14.419910279977152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28.647889756541161</c:v>
                </c:pt>
                <c:pt idx="1">
                  <c:v>28.647889756541161</c:v>
                </c:pt>
                <c:pt idx="2">
                  <c:v>28.647889756541161</c:v>
                </c:pt>
                <c:pt idx="3">
                  <c:v>28.647889756541161</c:v>
                </c:pt>
                <c:pt idx="4">
                  <c:v>28.647889756541161</c:v>
                </c:pt>
                <c:pt idx="5">
                  <c:v>28.647889756541161</c:v>
                </c:pt>
                <c:pt idx="6">
                  <c:v>28.647889756541161</c:v>
                </c:pt>
                <c:pt idx="7">
                  <c:v>28.647889756541161</c:v>
                </c:pt>
                <c:pt idx="8">
                  <c:v>28.647889756541161</c:v>
                </c:pt>
                <c:pt idx="9">
                  <c:v>28.647889756541161</c:v>
                </c:pt>
                <c:pt idx="10">
                  <c:v>28.647889756541161</c:v>
                </c:pt>
                <c:pt idx="11">
                  <c:v>28.647889756541161</c:v>
                </c:pt>
                <c:pt idx="12">
                  <c:v>28.647889756541161</c:v>
                </c:pt>
                <c:pt idx="13">
                  <c:v>28.647889756541161</c:v>
                </c:pt>
                <c:pt idx="14">
                  <c:v>28.647889756541161</c:v>
                </c:pt>
                <c:pt idx="15">
                  <c:v>28.647889756541161</c:v>
                </c:pt>
                <c:pt idx="16">
                  <c:v>28.647889756541161</c:v>
                </c:pt>
                <c:pt idx="17">
                  <c:v>28.647889756541161</c:v>
                </c:pt>
                <c:pt idx="18">
                  <c:v>28.647889756541161</c:v>
                </c:pt>
                <c:pt idx="19">
                  <c:v>28.647889756541161</c:v>
                </c:pt>
                <c:pt idx="20">
                  <c:v>28.647889756541161</c:v>
                </c:pt>
                <c:pt idx="21">
                  <c:v>28.647889756541161</c:v>
                </c:pt>
                <c:pt idx="22">
                  <c:v>28.647889756541161</c:v>
                </c:pt>
                <c:pt idx="23">
                  <c:v>28.647889756541161</c:v>
                </c:pt>
                <c:pt idx="24">
                  <c:v>28.647889756541161</c:v>
                </c:pt>
                <c:pt idx="25">
                  <c:v>28.647889756541161</c:v>
                </c:pt>
                <c:pt idx="26">
                  <c:v>28.647889756541161</c:v>
                </c:pt>
                <c:pt idx="27">
                  <c:v>28.647889756541161</c:v>
                </c:pt>
                <c:pt idx="28">
                  <c:v>28.647889756541161</c:v>
                </c:pt>
                <c:pt idx="29">
                  <c:v>28.647889756541161</c:v>
                </c:pt>
                <c:pt idx="30">
                  <c:v>28.647889756541161</c:v>
                </c:pt>
                <c:pt idx="31">
                  <c:v>28.647889756541161</c:v>
                </c:pt>
                <c:pt idx="32">
                  <c:v>28.647889756541161</c:v>
                </c:pt>
                <c:pt idx="33">
                  <c:v>28.647889756541161</c:v>
                </c:pt>
                <c:pt idx="34">
                  <c:v>28.647889756541161</c:v>
                </c:pt>
                <c:pt idx="35">
                  <c:v>28.647889756541161</c:v>
                </c:pt>
                <c:pt idx="36">
                  <c:v>28.647889756541161</c:v>
                </c:pt>
                <c:pt idx="37">
                  <c:v>28.647889756541161</c:v>
                </c:pt>
                <c:pt idx="38">
                  <c:v>28.647889756541161</c:v>
                </c:pt>
                <c:pt idx="39">
                  <c:v>28.647889756541161</c:v>
                </c:pt>
                <c:pt idx="40">
                  <c:v>28.647889756541161</c:v>
                </c:pt>
                <c:pt idx="41">
                  <c:v>28.647889756541161</c:v>
                </c:pt>
                <c:pt idx="42">
                  <c:v>28.647889756541161</c:v>
                </c:pt>
                <c:pt idx="43">
                  <c:v>28.647889756541161</c:v>
                </c:pt>
                <c:pt idx="44">
                  <c:v>28.647889756541161</c:v>
                </c:pt>
                <c:pt idx="45">
                  <c:v>28.647889756541161</c:v>
                </c:pt>
                <c:pt idx="46">
                  <c:v>28.647889756541161</c:v>
                </c:pt>
                <c:pt idx="47">
                  <c:v>28.647889756541161</c:v>
                </c:pt>
                <c:pt idx="48">
                  <c:v>28.647889756541161</c:v>
                </c:pt>
                <c:pt idx="49">
                  <c:v>28.647889756541161</c:v>
                </c:pt>
                <c:pt idx="50">
                  <c:v>28.647889756541161</c:v>
                </c:pt>
                <c:pt idx="51">
                  <c:v>28.647889756541161</c:v>
                </c:pt>
                <c:pt idx="52">
                  <c:v>28.647889756541161</c:v>
                </c:pt>
                <c:pt idx="53">
                  <c:v>28.647889756541161</c:v>
                </c:pt>
                <c:pt idx="54">
                  <c:v>28.647889756541161</c:v>
                </c:pt>
                <c:pt idx="55">
                  <c:v>28.647889756541161</c:v>
                </c:pt>
                <c:pt idx="56">
                  <c:v>28.647889756541161</c:v>
                </c:pt>
                <c:pt idx="57">
                  <c:v>28.647889756541161</c:v>
                </c:pt>
                <c:pt idx="58">
                  <c:v>28.647889756541161</c:v>
                </c:pt>
                <c:pt idx="59">
                  <c:v>28.647889756541161</c:v>
                </c:pt>
                <c:pt idx="60">
                  <c:v>28.647889756541161</c:v>
                </c:pt>
                <c:pt idx="61">
                  <c:v>28.647889756541161</c:v>
                </c:pt>
                <c:pt idx="62">
                  <c:v>28.647889756541161</c:v>
                </c:pt>
                <c:pt idx="63">
                  <c:v>28.647889756541161</c:v>
                </c:pt>
                <c:pt idx="64">
                  <c:v>28.647889756541161</c:v>
                </c:pt>
                <c:pt idx="65">
                  <c:v>28.647889756541161</c:v>
                </c:pt>
                <c:pt idx="66">
                  <c:v>28.647889756541161</c:v>
                </c:pt>
                <c:pt idx="67">
                  <c:v>28.647889756541161</c:v>
                </c:pt>
                <c:pt idx="68">
                  <c:v>28.647889756541161</c:v>
                </c:pt>
                <c:pt idx="69">
                  <c:v>28.647889756541161</c:v>
                </c:pt>
                <c:pt idx="70">
                  <c:v>28.647889756541161</c:v>
                </c:pt>
                <c:pt idx="71">
                  <c:v>28.647889756541161</c:v>
                </c:pt>
                <c:pt idx="72">
                  <c:v>28.647889756541161</c:v>
                </c:pt>
                <c:pt idx="73">
                  <c:v>28.647889756541161</c:v>
                </c:pt>
                <c:pt idx="74">
                  <c:v>28.647889756541161</c:v>
                </c:pt>
                <c:pt idx="75">
                  <c:v>28.647889756541161</c:v>
                </c:pt>
                <c:pt idx="76">
                  <c:v>28.647889756541161</c:v>
                </c:pt>
                <c:pt idx="77">
                  <c:v>28.647889756541161</c:v>
                </c:pt>
                <c:pt idx="78">
                  <c:v>28.647889756541161</c:v>
                </c:pt>
                <c:pt idx="79">
                  <c:v>28.647889756541161</c:v>
                </c:pt>
                <c:pt idx="80">
                  <c:v>28.647889756541161</c:v>
                </c:pt>
                <c:pt idx="81">
                  <c:v>28.647889756541161</c:v>
                </c:pt>
                <c:pt idx="82">
                  <c:v>28.647889756541161</c:v>
                </c:pt>
                <c:pt idx="83">
                  <c:v>28.647889756541161</c:v>
                </c:pt>
                <c:pt idx="84">
                  <c:v>28.647889756541161</c:v>
                </c:pt>
                <c:pt idx="85">
                  <c:v>28.647889756541161</c:v>
                </c:pt>
                <c:pt idx="86">
                  <c:v>28.647889756541161</c:v>
                </c:pt>
                <c:pt idx="87">
                  <c:v>28.647889756541161</c:v>
                </c:pt>
                <c:pt idx="88">
                  <c:v>28.647889756541161</c:v>
                </c:pt>
                <c:pt idx="89">
                  <c:v>28.647889756541161</c:v>
                </c:pt>
                <c:pt idx="90">
                  <c:v>28.647889756541161</c:v>
                </c:pt>
                <c:pt idx="91">
                  <c:v>28.647889756541161</c:v>
                </c:pt>
                <c:pt idx="92">
                  <c:v>28.647889756541161</c:v>
                </c:pt>
                <c:pt idx="93">
                  <c:v>28.647889756541161</c:v>
                </c:pt>
                <c:pt idx="94">
                  <c:v>28.647889756541161</c:v>
                </c:pt>
                <c:pt idx="95">
                  <c:v>28.647889756541161</c:v>
                </c:pt>
                <c:pt idx="96">
                  <c:v>28.647889756541161</c:v>
                </c:pt>
                <c:pt idx="97">
                  <c:v>28.647889756541161</c:v>
                </c:pt>
                <c:pt idx="98">
                  <c:v>28.647889756541161</c:v>
                </c:pt>
                <c:pt idx="99">
                  <c:v>28.647889756541161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48V, 20T, 90k, 500g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28.647889756541161</c:v>
                </c:pt>
                <c:pt idx="1">
                  <c:v>28.647889756541161</c:v>
                </c:pt>
                <c:pt idx="2">
                  <c:v>28.647889756541161</c:v>
                </c:pt>
                <c:pt idx="3">
                  <c:v>28.647889756541161</c:v>
                </c:pt>
                <c:pt idx="4">
                  <c:v>28.647889756541161</c:v>
                </c:pt>
                <c:pt idx="5">
                  <c:v>28.647889756541161</c:v>
                </c:pt>
                <c:pt idx="6">
                  <c:v>28.647889756541161</c:v>
                </c:pt>
                <c:pt idx="7">
                  <c:v>28.647889756541161</c:v>
                </c:pt>
                <c:pt idx="8">
                  <c:v>28.647889756541161</c:v>
                </c:pt>
                <c:pt idx="9">
                  <c:v>28.647889756541161</c:v>
                </c:pt>
                <c:pt idx="10">
                  <c:v>28.647889756541161</c:v>
                </c:pt>
                <c:pt idx="11">
                  <c:v>28.647889756541161</c:v>
                </c:pt>
                <c:pt idx="12">
                  <c:v>28.647889756541161</c:v>
                </c:pt>
                <c:pt idx="13">
                  <c:v>28.647889756541161</c:v>
                </c:pt>
                <c:pt idx="14">
                  <c:v>28.647889756541161</c:v>
                </c:pt>
                <c:pt idx="15">
                  <c:v>28.647889756541161</c:v>
                </c:pt>
                <c:pt idx="16">
                  <c:v>28.647889756541161</c:v>
                </c:pt>
                <c:pt idx="17">
                  <c:v>28.647889756541161</c:v>
                </c:pt>
                <c:pt idx="18">
                  <c:v>28.647889756541161</c:v>
                </c:pt>
                <c:pt idx="19">
                  <c:v>28.647889756541161</c:v>
                </c:pt>
                <c:pt idx="20">
                  <c:v>28.647889756541161</c:v>
                </c:pt>
                <c:pt idx="21">
                  <c:v>28.647889756541161</c:v>
                </c:pt>
                <c:pt idx="22">
                  <c:v>28.647889756541161</c:v>
                </c:pt>
                <c:pt idx="23">
                  <c:v>28.647889756541161</c:v>
                </c:pt>
                <c:pt idx="24">
                  <c:v>28.647889756541161</c:v>
                </c:pt>
                <c:pt idx="25">
                  <c:v>28.647889756541161</c:v>
                </c:pt>
                <c:pt idx="26">
                  <c:v>28.647889756541161</c:v>
                </c:pt>
                <c:pt idx="27">
                  <c:v>28.647889756541161</c:v>
                </c:pt>
                <c:pt idx="28">
                  <c:v>28.647889756541161</c:v>
                </c:pt>
                <c:pt idx="29">
                  <c:v>28.647889756541161</c:v>
                </c:pt>
                <c:pt idx="30">
                  <c:v>28.647889756541161</c:v>
                </c:pt>
                <c:pt idx="31">
                  <c:v>28.647889756541161</c:v>
                </c:pt>
                <c:pt idx="32">
                  <c:v>28.647889756541161</c:v>
                </c:pt>
                <c:pt idx="33">
                  <c:v>28.647889756541161</c:v>
                </c:pt>
                <c:pt idx="34">
                  <c:v>28.647889756541161</c:v>
                </c:pt>
                <c:pt idx="35">
                  <c:v>28.647889756541161</c:v>
                </c:pt>
                <c:pt idx="36">
                  <c:v>28.647889756541161</c:v>
                </c:pt>
                <c:pt idx="37">
                  <c:v>28.647889756541161</c:v>
                </c:pt>
                <c:pt idx="38">
                  <c:v>28.647889756541161</c:v>
                </c:pt>
                <c:pt idx="39">
                  <c:v>28.647889756541161</c:v>
                </c:pt>
                <c:pt idx="40">
                  <c:v>28.647889756541161</c:v>
                </c:pt>
                <c:pt idx="41">
                  <c:v>28.647889756541161</c:v>
                </c:pt>
                <c:pt idx="42">
                  <c:v>28.647889756541161</c:v>
                </c:pt>
                <c:pt idx="43">
                  <c:v>28.647889756541161</c:v>
                </c:pt>
                <c:pt idx="44">
                  <c:v>28.647889756541161</c:v>
                </c:pt>
                <c:pt idx="45">
                  <c:v>28.647889756541161</c:v>
                </c:pt>
                <c:pt idx="46">
                  <c:v>28.647889756541161</c:v>
                </c:pt>
                <c:pt idx="47">
                  <c:v>28.647889756541161</c:v>
                </c:pt>
                <c:pt idx="48">
                  <c:v>28.647889756541161</c:v>
                </c:pt>
                <c:pt idx="49">
                  <c:v>28.647889756541161</c:v>
                </c:pt>
                <c:pt idx="50">
                  <c:v>28.647889756541161</c:v>
                </c:pt>
                <c:pt idx="51">
                  <c:v>28.647889756541161</c:v>
                </c:pt>
                <c:pt idx="52">
                  <c:v>28.647889756541161</c:v>
                </c:pt>
                <c:pt idx="53">
                  <c:v>28.647889756541161</c:v>
                </c:pt>
                <c:pt idx="54">
                  <c:v>28.647889756541161</c:v>
                </c:pt>
                <c:pt idx="55">
                  <c:v>28.647889756541161</c:v>
                </c:pt>
                <c:pt idx="56">
                  <c:v>28.647889756541161</c:v>
                </c:pt>
                <c:pt idx="57">
                  <c:v>28.647889756541161</c:v>
                </c:pt>
                <c:pt idx="58">
                  <c:v>28.647889756541161</c:v>
                </c:pt>
                <c:pt idx="59">
                  <c:v>28.647889756541161</c:v>
                </c:pt>
                <c:pt idx="60">
                  <c:v>28.647889756541161</c:v>
                </c:pt>
                <c:pt idx="61">
                  <c:v>28.647889756541161</c:v>
                </c:pt>
                <c:pt idx="62">
                  <c:v>28.647889756541161</c:v>
                </c:pt>
                <c:pt idx="63">
                  <c:v>28.647889756541161</c:v>
                </c:pt>
                <c:pt idx="64">
                  <c:v>28.647889756541161</c:v>
                </c:pt>
                <c:pt idx="65">
                  <c:v>28.647889756541161</c:v>
                </c:pt>
                <c:pt idx="66">
                  <c:v>28.647889756541161</c:v>
                </c:pt>
                <c:pt idx="67">
                  <c:v>28.647889756541161</c:v>
                </c:pt>
                <c:pt idx="68">
                  <c:v>28.647889756541161</c:v>
                </c:pt>
                <c:pt idx="69">
                  <c:v>28.647889756541161</c:v>
                </c:pt>
                <c:pt idx="70">
                  <c:v>28.647889756541161</c:v>
                </c:pt>
                <c:pt idx="71">
                  <c:v>28.647889756541161</c:v>
                </c:pt>
                <c:pt idx="72">
                  <c:v>28.647889756541161</c:v>
                </c:pt>
                <c:pt idx="73">
                  <c:v>28.647889756541161</c:v>
                </c:pt>
                <c:pt idx="74">
                  <c:v>28.647889756541161</c:v>
                </c:pt>
                <c:pt idx="75">
                  <c:v>28.647889756541161</c:v>
                </c:pt>
                <c:pt idx="76">
                  <c:v>28.647889756541161</c:v>
                </c:pt>
                <c:pt idx="77">
                  <c:v>28.647889756541161</c:v>
                </c:pt>
                <c:pt idx="78">
                  <c:v>28.647889756541161</c:v>
                </c:pt>
                <c:pt idx="79">
                  <c:v>28.647889756541161</c:v>
                </c:pt>
                <c:pt idx="80">
                  <c:v>28.647889756541161</c:v>
                </c:pt>
                <c:pt idx="81">
                  <c:v>28.647889756541161</c:v>
                </c:pt>
                <c:pt idx="82">
                  <c:v>28.647889756541161</c:v>
                </c:pt>
                <c:pt idx="83">
                  <c:v>28.647889756541161</c:v>
                </c:pt>
                <c:pt idx="84">
                  <c:v>28.647889756541161</c:v>
                </c:pt>
                <c:pt idx="85">
                  <c:v>28.647889756541161</c:v>
                </c:pt>
                <c:pt idx="86">
                  <c:v>28.647889756541161</c:v>
                </c:pt>
                <c:pt idx="87">
                  <c:v>28.647889756541161</c:v>
                </c:pt>
                <c:pt idx="88">
                  <c:v>28.647889756541161</c:v>
                </c:pt>
                <c:pt idx="89">
                  <c:v>28.647889756541161</c:v>
                </c:pt>
                <c:pt idx="90">
                  <c:v>28.647889756541161</c:v>
                </c:pt>
                <c:pt idx="91">
                  <c:v>28.647889756541161</c:v>
                </c:pt>
                <c:pt idx="92">
                  <c:v>28.647889756541161</c:v>
                </c:pt>
                <c:pt idx="93">
                  <c:v>28.647889756541161</c:v>
                </c:pt>
                <c:pt idx="94">
                  <c:v>28.647889756541161</c:v>
                </c:pt>
                <c:pt idx="95">
                  <c:v>28.647889756541161</c:v>
                </c:pt>
                <c:pt idx="96">
                  <c:v>28.647889756541161</c:v>
                </c:pt>
                <c:pt idx="97">
                  <c:v>28.647889756541161</c:v>
                </c:pt>
                <c:pt idx="98">
                  <c:v>28.647889756541161</c:v>
                </c:pt>
                <c:pt idx="99">
                  <c:v>28.647889756541161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30.133124239795386</c:v>
                </c:pt>
                <c:pt idx="1">
                  <c:v>30.133124239795386</c:v>
                </c:pt>
                <c:pt idx="2">
                  <c:v>30.133124239795386</c:v>
                </c:pt>
                <c:pt idx="3">
                  <c:v>30.133124239795386</c:v>
                </c:pt>
                <c:pt idx="4">
                  <c:v>30.133124239795386</c:v>
                </c:pt>
                <c:pt idx="5">
                  <c:v>30.133124239795386</c:v>
                </c:pt>
                <c:pt idx="6">
                  <c:v>30.133124239795386</c:v>
                </c:pt>
                <c:pt idx="7">
                  <c:v>30.133124239795386</c:v>
                </c:pt>
                <c:pt idx="8">
                  <c:v>30.133124239795386</c:v>
                </c:pt>
                <c:pt idx="9">
                  <c:v>30.133124239795386</c:v>
                </c:pt>
                <c:pt idx="10">
                  <c:v>30.133124239795386</c:v>
                </c:pt>
                <c:pt idx="11">
                  <c:v>30.133124239795386</c:v>
                </c:pt>
                <c:pt idx="12">
                  <c:v>30.133124239795386</c:v>
                </c:pt>
                <c:pt idx="13">
                  <c:v>30.133124239795386</c:v>
                </c:pt>
                <c:pt idx="14">
                  <c:v>30.133124239795386</c:v>
                </c:pt>
                <c:pt idx="15">
                  <c:v>30.133124239795386</c:v>
                </c:pt>
                <c:pt idx="16">
                  <c:v>30.133124239795386</c:v>
                </c:pt>
                <c:pt idx="17">
                  <c:v>30.133124239795386</c:v>
                </c:pt>
                <c:pt idx="18">
                  <c:v>30.133124239795386</c:v>
                </c:pt>
                <c:pt idx="19">
                  <c:v>30.133124239795386</c:v>
                </c:pt>
                <c:pt idx="20">
                  <c:v>30.133124239795386</c:v>
                </c:pt>
                <c:pt idx="21">
                  <c:v>30.133124239795386</c:v>
                </c:pt>
                <c:pt idx="22">
                  <c:v>30.133124239795386</c:v>
                </c:pt>
                <c:pt idx="23">
                  <c:v>30.133124239795386</c:v>
                </c:pt>
                <c:pt idx="24">
                  <c:v>30.133124239795386</c:v>
                </c:pt>
                <c:pt idx="25">
                  <c:v>30.133124239795386</c:v>
                </c:pt>
                <c:pt idx="26">
                  <c:v>30.133124239795386</c:v>
                </c:pt>
                <c:pt idx="27">
                  <c:v>30.133124239795386</c:v>
                </c:pt>
                <c:pt idx="28">
                  <c:v>30.133124239795386</c:v>
                </c:pt>
                <c:pt idx="29">
                  <c:v>28.557505903875196</c:v>
                </c:pt>
                <c:pt idx="30">
                  <c:v>26.459688989821849</c:v>
                </c:pt>
                <c:pt idx="31">
                  <c:v>24.485378487457027</c:v>
                </c:pt>
                <c:pt idx="32">
                  <c:v>22.623979348080326</c:v>
                </c:pt>
                <c:pt idx="33">
                  <c:v>20.866074700370085</c:v>
                </c:pt>
                <c:pt idx="34">
                  <c:v>19.203266512250892</c:v>
                </c:pt>
                <c:pt idx="35">
                  <c:v>17.628041430641588</c:v>
                </c:pt>
                <c:pt idx="36">
                  <c:v>16.133657276611775</c:v>
                </c:pt>
                <c:pt idx="37">
                  <c:v>14.714046578626153</c:v>
                </c:pt>
                <c:pt idx="38">
                  <c:v>13.363734232874165</c:v>
                </c:pt>
                <c:pt idx="39">
                  <c:v>12.077766934543046</c:v>
                </c:pt>
                <c:pt idx="40">
                  <c:v>10.851652462539754</c:v>
                </c:pt>
                <c:pt idx="41">
                  <c:v>9.6813072490333845</c:v>
                </c:pt>
                <c:pt idx="42">
                  <c:v>8.5630109442363782</c:v>
                </c:pt>
                <c:pt idx="43">
                  <c:v>7.4933669112597201</c:v>
                </c:pt>
                <c:pt idx="44">
                  <c:v>6.4692677672939922</c:v>
                </c:pt>
                <c:pt idx="45">
                  <c:v>5.4878652347484831</c:v>
                </c:pt>
                <c:pt idx="46">
                  <c:v>4.5465436862752995</c:v>
                </c:pt>
                <c:pt idx="47">
                  <c:v>3.6428968662341816</c:v>
                </c:pt>
                <c:pt idx="48">
                  <c:v>2.7747073523677113</c:v>
                </c:pt>
                <c:pt idx="49">
                  <c:v>1.9399283886065817</c:v>
                </c:pt>
                <c:pt idx="50">
                  <c:v>1.1366677756650905</c:v>
                </c:pt>
                <c:pt idx="51">
                  <c:v>0.36317355253295425</c:v>
                </c:pt>
                <c:pt idx="52">
                  <c:v>-0.38217875918920363</c:v>
                </c:pt>
                <c:pt idx="53">
                  <c:v>-1.1008975435673882</c:v>
                </c:pt>
                <c:pt idx="54">
                  <c:v>-1.7943852792351525</c:v>
                </c:pt>
                <c:pt idx="55">
                  <c:v>-2.4639476737425721</c:v>
                </c:pt>
                <c:pt idx="56">
                  <c:v>-3.1108018685312775</c:v>
                </c:pt>
                <c:pt idx="57">
                  <c:v>-3.7360838230149298</c:v>
                </c:pt>
                <c:pt idx="58">
                  <c:v>-4.3408549720110354</c:v>
                </c:pt>
                <c:pt idx="59">
                  <c:v>-4.9261082386034083</c:v>
                </c:pt>
                <c:pt idx="60">
                  <c:v>-5.4927734740872181</c:v>
                </c:pt>
                <c:pt idx="61">
                  <c:v>-6.0417223876877895</c:v>
                </c:pt>
                <c:pt idx="62">
                  <c:v>-6.5737730210252012</c:v>
                </c:pt>
                <c:pt idx="63">
                  <c:v>-7.0896938156304445</c:v>
                </c:pt>
                <c:pt idx="64">
                  <c:v>-7.5902073160485353</c:v>
                </c:pt>
                <c:pt idx="65">
                  <c:v>-8.0759935460577772</c:v>
                </c:pt>
                <c:pt idx="66">
                  <c:v>-8.5476930911811699</c:v>
                </c:pt>
                <c:pt idx="67">
                  <c:v>-9.0059099168729979</c:v>
                </c:pt>
                <c:pt idx="68">
                  <c:v>-9.4512139484514073</c:v>
                </c:pt>
                <c:pt idx="69">
                  <c:v>-9.8841434359499267</c:v>
                </c:pt>
                <c:pt idx="70">
                  <c:v>-10.305207124520313</c:v>
                </c:pt>
                <c:pt idx="71">
                  <c:v>-10.714886248787771</c:v>
                </c:pt>
                <c:pt idx="72">
                  <c:v>-11.113636367595966</c:v>
                </c:pt>
                <c:pt idx="73">
                  <c:v>-11.50188905384845</c:v>
                </c:pt>
                <c:pt idx="74">
                  <c:v>-11.592476891746337</c:v>
                </c:pt>
                <c:pt idx="75">
                  <c:v>-11.592476891746337</c:v>
                </c:pt>
                <c:pt idx="76">
                  <c:v>-11.592476891746337</c:v>
                </c:pt>
                <c:pt idx="77">
                  <c:v>-11.592476891746337</c:v>
                </c:pt>
                <c:pt idx="78">
                  <c:v>-11.592476891746337</c:v>
                </c:pt>
                <c:pt idx="79">
                  <c:v>-11.592476891746337</c:v>
                </c:pt>
                <c:pt idx="80">
                  <c:v>-11.592476891746337</c:v>
                </c:pt>
                <c:pt idx="81">
                  <c:v>-11.592476891746337</c:v>
                </c:pt>
                <c:pt idx="82">
                  <c:v>-11.592476891746337</c:v>
                </c:pt>
                <c:pt idx="83">
                  <c:v>-11.592476891746337</c:v>
                </c:pt>
                <c:pt idx="84">
                  <c:v>-11.592476891746337</c:v>
                </c:pt>
                <c:pt idx="85">
                  <c:v>-11.592476891746337</c:v>
                </c:pt>
                <c:pt idx="86">
                  <c:v>-11.592476891746337</c:v>
                </c:pt>
                <c:pt idx="87">
                  <c:v>-11.592476891746337</c:v>
                </c:pt>
                <c:pt idx="88">
                  <c:v>-11.592476891746337</c:v>
                </c:pt>
                <c:pt idx="89">
                  <c:v>-11.592476891746337</c:v>
                </c:pt>
                <c:pt idx="90">
                  <c:v>-11.592476891746337</c:v>
                </c:pt>
                <c:pt idx="91">
                  <c:v>-11.592476891746337</c:v>
                </c:pt>
                <c:pt idx="92">
                  <c:v>-11.592476891746337</c:v>
                </c:pt>
                <c:pt idx="93">
                  <c:v>-11.592476891746337</c:v>
                </c:pt>
                <c:pt idx="94">
                  <c:v>-11.592476891746337</c:v>
                </c:pt>
                <c:pt idx="95">
                  <c:v>-11.592476891746337</c:v>
                </c:pt>
                <c:pt idx="96">
                  <c:v>-11.592476891746337</c:v>
                </c:pt>
                <c:pt idx="97">
                  <c:v>-11.592476891746337</c:v>
                </c:pt>
                <c:pt idx="98">
                  <c:v>-11.592476891746337</c:v>
                </c:pt>
                <c:pt idx="99">
                  <c:v>-11.592476891746337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OMC-17HM19-2004S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20.939347719286189</c:v>
                </c:pt>
                <c:pt idx="1">
                  <c:v>20.939347719286189</c:v>
                </c:pt>
                <c:pt idx="2">
                  <c:v>20.939347719286189</c:v>
                </c:pt>
                <c:pt idx="3">
                  <c:v>20.939347719286189</c:v>
                </c:pt>
                <c:pt idx="4">
                  <c:v>20.939347719286189</c:v>
                </c:pt>
                <c:pt idx="5">
                  <c:v>20.939347719286189</c:v>
                </c:pt>
                <c:pt idx="6">
                  <c:v>20.939347719286189</c:v>
                </c:pt>
                <c:pt idx="7">
                  <c:v>20.939347719286189</c:v>
                </c:pt>
                <c:pt idx="8">
                  <c:v>20.939347719286189</c:v>
                </c:pt>
                <c:pt idx="9">
                  <c:v>20.939347719286189</c:v>
                </c:pt>
                <c:pt idx="10">
                  <c:v>20.939347719286189</c:v>
                </c:pt>
                <c:pt idx="11">
                  <c:v>20.939347719286189</c:v>
                </c:pt>
                <c:pt idx="12">
                  <c:v>20.939347719286189</c:v>
                </c:pt>
                <c:pt idx="13">
                  <c:v>20.939347719286189</c:v>
                </c:pt>
                <c:pt idx="14">
                  <c:v>20.939347719286189</c:v>
                </c:pt>
                <c:pt idx="15">
                  <c:v>20.728678131259493</c:v>
                </c:pt>
                <c:pt idx="16">
                  <c:v>18.458894823962936</c:v>
                </c:pt>
                <c:pt idx="17">
                  <c:v>16.439171546295171</c:v>
                </c:pt>
                <c:pt idx="18">
                  <c:v>14.630342394692455</c:v>
                </c:pt>
                <c:pt idx="19">
                  <c:v>13.001014827420416</c:v>
                </c:pt>
                <c:pt idx="20">
                  <c:v>11.525732329822144</c:v>
                </c:pt>
                <c:pt idx="21">
                  <c:v>10.18363468968667</c:v>
                </c:pt>
                <c:pt idx="22">
                  <c:v>8.9574654428665426</c:v>
                </c:pt>
                <c:pt idx="23">
                  <c:v>7.8328258763654794</c:v>
                </c:pt>
                <c:pt idx="24">
                  <c:v>6.7976069752106696</c:v>
                </c:pt>
                <c:pt idx="25">
                  <c:v>5.8415516870904689</c:v>
                </c:pt>
                <c:pt idx="26">
                  <c:v>4.9559139101685474</c:v>
                </c:pt>
                <c:pt idx="27">
                  <c:v>4.1331901554682364</c:v>
                </c:pt>
                <c:pt idx="28">
                  <c:v>3.3669064342965012</c:v>
                </c:pt>
                <c:pt idx="29">
                  <c:v>2.6514475506353659</c:v>
                </c:pt>
                <c:pt idx="30">
                  <c:v>1.9819192704895272</c:v>
                </c:pt>
                <c:pt idx="31">
                  <c:v>1.354036210780535</c:v>
                </c:pt>
                <c:pt idx="32">
                  <c:v>0.7640300174522654</c:v>
                </c:pt>
                <c:pt idx="33">
                  <c:v>0.20857367442090435</c:v>
                </c:pt>
                <c:pt idx="34">
                  <c:v>-0.31528126867505435</c:v>
                </c:pt>
                <c:pt idx="35">
                  <c:v>-0.81015705122009507</c:v>
                </c:pt>
                <c:pt idx="36">
                  <c:v>-1.2783936015773136</c:v>
                </c:pt>
                <c:pt idx="37">
                  <c:v>-1.7220855334330682</c:v>
                </c:pt>
                <c:pt idx="38">
                  <c:v>-2.1431134727696008</c:v>
                </c:pt>
                <c:pt idx="39">
                  <c:v>-2.543170703802879</c:v>
                </c:pt>
                <c:pt idx="40">
                  <c:v>-2.9237859300979281</c:v>
                </c:pt>
                <c:pt idx="41">
                  <c:v>-3.2863427959680482</c:v>
                </c:pt>
                <c:pt idx="42">
                  <c:v>-3.6320966936726551</c:v>
                </c:pt>
                <c:pt idx="43">
                  <c:v>-3.9621892867133583</c:v>
                </c:pt>
                <c:pt idx="44">
                  <c:v>-4.2776611032909075</c:v>
                </c:pt>
                <c:pt idx="45">
                  <c:v>-4.5794624926149314</c:v>
                </c:pt>
                <c:pt idx="46">
                  <c:v>-4.8684631871010202</c:v>
                </c:pt>
                <c:pt idx="47">
                  <c:v>-5.1454606731134556</c:v>
                </c:pt>
                <c:pt idx="48">
                  <c:v>-5.4111875399284184</c:v>
                </c:pt>
                <c:pt idx="49">
                  <c:v>-5.6663179495278193</c:v>
                </c:pt>
                <c:pt idx="50">
                  <c:v>-5.9114733475309951</c:v>
                </c:pt>
                <c:pt idx="51">
                  <c:v>-6.1472275171173543</c:v>
                </c:pt>
                <c:pt idx="52">
                  <c:v>-6.374111062463454</c:v>
                </c:pt>
                <c:pt idx="53">
                  <c:v>-6.5926153954362068</c:v>
                </c:pt>
                <c:pt idx="54">
                  <c:v>-6.8031962885877153</c:v>
                </c:pt>
                <c:pt idx="55">
                  <c:v>-7.0062770485154591</c:v>
                </c:pt>
                <c:pt idx="56">
                  <c:v>-7.2022513560840951</c:v>
                </c:pt>
                <c:pt idx="57">
                  <c:v>-7.3914858136087807</c:v>
                </c:pt>
                <c:pt idx="58">
                  <c:v>-7.5743222336769076</c:v>
                </c:pt>
                <c:pt idx="59">
                  <c:v>-7.7510796996732303</c:v>
                </c:pt>
                <c:pt idx="60">
                  <c:v>-7.9220564241404947</c:v>
                </c:pt>
                <c:pt idx="61">
                  <c:v>-8.087531427744036</c:v>
                </c:pt>
                <c:pt idx="62">
                  <c:v>-8.2477660587246611</c:v>
                </c:pt>
                <c:pt idx="63">
                  <c:v>-8.4030053702445784</c:v>
                </c:pt>
                <c:pt idx="64">
                  <c:v>-8.5534793708940224</c:v>
                </c:pt>
                <c:pt idx="65">
                  <c:v>-8.6994041617799382</c:v>
                </c:pt>
                <c:pt idx="66">
                  <c:v>-8.8409829720192246</c:v>
                </c:pt>
                <c:pt idx="67">
                  <c:v>-8.9784071030712234</c:v>
                </c:pt>
                <c:pt idx="68">
                  <c:v>-9.1118567911371269</c:v>
                </c:pt>
                <c:pt idx="69">
                  <c:v>-9.2415019958015954</c:v>
                </c:pt>
                <c:pt idx="70">
                  <c:v>-9.367503122172737</c:v>
                </c:pt>
                <c:pt idx="71">
                  <c:v>-9.4900116829721579</c:v>
                </c:pt>
                <c:pt idx="72">
                  <c:v>-9.6091709063211201</c:v>
                </c:pt>
                <c:pt idx="73">
                  <c:v>-9.7251162943490161</c:v>
                </c:pt>
                <c:pt idx="74">
                  <c:v>-9.837976137204695</c:v>
                </c:pt>
                <c:pt idx="75">
                  <c:v>-9.9478719865699645</c:v>
                </c:pt>
                <c:pt idx="76">
                  <c:v>-10.054919092349518</c:v>
                </c:pt>
                <c:pt idx="77">
                  <c:v>-10.159226805835505</c:v>
                </c:pt>
                <c:pt idx="78">
                  <c:v>-10.260898952311523</c:v>
                </c:pt>
                <c:pt idx="79">
                  <c:v>-10.360034175764991</c:v>
                </c:pt>
                <c:pt idx="80">
                  <c:v>-10.45672625811368</c:v>
                </c:pt>
                <c:pt idx="81">
                  <c:v>-10.55106441511797</c:v>
                </c:pt>
                <c:pt idx="82">
                  <c:v>-10.643133570941462</c:v>
                </c:pt>
                <c:pt idx="83">
                  <c:v>-10.733014613135964</c:v>
                </c:pt>
                <c:pt idx="84">
                  <c:v>-10.820784629660089</c:v>
                </c:pt>
                <c:pt idx="85">
                  <c:v>-10.906517129391201</c:v>
                </c:pt>
                <c:pt idx="86">
                  <c:v>-10.990282247456499</c:v>
                </c:pt>
                <c:pt idx="87">
                  <c:v>-11.072146936588686</c:v>
                </c:pt>
                <c:pt idx="88">
                  <c:v>-11.152175145603561</c:v>
                </c:pt>
                <c:pt idx="89">
                  <c:v>-11.230427985999363</c:v>
                </c:pt>
                <c:pt idx="90">
                  <c:v>-11.30696388759014</c:v>
                </c:pt>
                <c:pt idx="91">
                  <c:v>-11.381838744006039</c:v>
                </c:pt>
                <c:pt idx="92">
                  <c:v>-11.455106048822</c:v>
                </c:pt>
                <c:pt idx="93">
                  <c:v>-11.52681702301158</c:v>
                </c:pt>
                <c:pt idx="94">
                  <c:v>-11.592476891746337</c:v>
                </c:pt>
                <c:pt idx="95">
                  <c:v>-11.592476891746337</c:v>
                </c:pt>
                <c:pt idx="96">
                  <c:v>-11.592476891746337</c:v>
                </c:pt>
                <c:pt idx="97">
                  <c:v>-11.592476891746337</c:v>
                </c:pt>
                <c:pt idx="98">
                  <c:v>-11.592476891746337</c:v>
                </c:pt>
                <c:pt idx="99">
                  <c:v>-11.592476891746337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LDO-42STH48-2004AC 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29.001795653060057</c:v>
                </c:pt>
                <c:pt idx="1">
                  <c:v>29.001795653060057</c:v>
                </c:pt>
                <c:pt idx="2">
                  <c:v>29.001795653060057</c:v>
                </c:pt>
                <c:pt idx="3">
                  <c:v>29.001795653060057</c:v>
                </c:pt>
                <c:pt idx="4">
                  <c:v>29.001795653060057</c:v>
                </c:pt>
                <c:pt idx="5">
                  <c:v>29.001795653060057</c:v>
                </c:pt>
                <c:pt idx="6">
                  <c:v>29.001795653060057</c:v>
                </c:pt>
                <c:pt idx="7">
                  <c:v>29.001795653060057</c:v>
                </c:pt>
                <c:pt idx="8">
                  <c:v>29.001795653060057</c:v>
                </c:pt>
                <c:pt idx="9">
                  <c:v>29.001795653060057</c:v>
                </c:pt>
                <c:pt idx="10">
                  <c:v>29.001795653060057</c:v>
                </c:pt>
                <c:pt idx="11">
                  <c:v>29.001795653060057</c:v>
                </c:pt>
                <c:pt idx="12">
                  <c:v>29.001795653060057</c:v>
                </c:pt>
                <c:pt idx="13">
                  <c:v>29.001795653060057</c:v>
                </c:pt>
                <c:pt idx="14">
                  <c:v>29.001795653060057</c:v>
                </c:pt>
                <c:pt idx="15">
                  <c:v>29.001795653060057</c:v>
                </c:pt>
                <c:pt idx="16">
                  <c:v>29.001795653060057</c:v>
                </c:pt>
                <c:pt idx="17">
                  <c:v>29.001795653060057</c:v>
                </c:pt>
                <c:pt idx="18">
                  <c:v>29.001795653060057</c:v>
                </c:pt>
                <c:pt idx="19">
                  <c:v>29.001795653060057</c:v>
                </c:pt>
                <c:pt idx="20">
                  <c:v>29.001795653060057</c:v>
                </c:pt>
                <c:pt idx="21">
                  <c:v>29.001795653060057</c:v>
                </c:pt>
                <c:pt idx="22">
                  <c:v>29.001795653060057</c:v>
                </c:pt>
                <c:pt idx="23">
                  <c:v>29.001795653060057</c:v>
                </c:pt>
                <c:pt idx="24">
                  <c:v>29.001795653060057</c:v>
                </c:pt>
                <c:pt idx="25">
                  <c:v>29.001795653060057</c:v>
                </c:pt>
                <c:pt idx="26">
                  <c:v>29.001795653060057</c:v>
                </c:pt>
                <c:pt idx="27">
                  <c:v>29.001795653060057</c:v>
                </c:pt>
                <c:pt idx="28">
                  <c:v>29.001795653060057</c:v>
                </c:pt>
                <c:pt idx="29">
                  <c:v>27.368581919942315</c:v>
                </c:pt>
                <c:pt idx="30">
                  <c:v>25.349532455425965</c:v>
                </c:pt>
                <c:pt idx="31">
                  <c:v>23.447885267741434</c:v>
                </c:pt>
                <c:pt idx="32">
                  <c:v>21.65368971994571</c:v>
                </c:pt>
                <c:pt idx="33">
                  <c:v>19.958088789718939</c:v>
                </c:pt>
                <c:pt idx="34">
                  <c:v>18.353172846238142</c:v>
                </c:pt>
                <c:pt idx="35">
                  <c:v>16.831856277148283</c:v>
                </c:pt>
                <c:pt idx="36">
                  <c:v>15.387772905495353</c:v>
                </c:pt>
                <c:pt idx="37">
                  <c:v>14.015186940564618</c:v>
                </c:pt>
                <c:pt idx="38">
                  <c:v>12.708916835826951</c:v>
                </c:pt>
                <c:pt idx="39">
                  <c:v>11.464269922871654</c:v>
                </c:pt>
                <c:pt idx="40">
                  <c:v>10.276986083079578</c:v>
                </c:pt>
                <c:pt idx="41">
                  <c:v>9.1431890320200324</c:v>
                </c:pt>
                <c:pt idx="42">
                  <c:v>8.059344042684728</c:v>
                </c:pt>
                <c:pt idx="43">
                  <c:v>7.0222211360862836</c:v>
                </c:pt>
                <c:pt idx="44">
                  <c:v>6.0288629317263087</c:v>
                </c:pt>
                <c:pt idx="45">
                  <c:v>5.0765564839210136</c:v>
                </c:pt>
                <c:pt idx="46">
                  <c:v>4.1628085391341934</c:v>
                </c:pt>
                <c:pt idx="47">
                  <c:v>3.2853237391343431</c:v>
                </c:pt>
                <c:pt idx="48">
                  <c:v>2.4419853687577504</c:v>
                </c:pt>
                <c:pt idx="49">
                  <c:v>1.6308383083195412</c:v>
                </c:pt>
                <c:pt idx="50">
                  <c:v>0.85007390164893337</c:v>
                </c:pt>
                <c:pt idx="51">
                  <c:v>9.8016493232162105E-2</c:v>
                </c:pt>
                <c:pt idx="52">
                  <c:v>-0.62688857645245477</c:v>
                </c:pt>
                <c:pt idx="53">
                  <c:v>-1.326085698403471</c:v>
                </c:pt>
                <c:pt idx="54">
                  <c:v>-2.0009186011372382</c:v>
                </c:pt>
                <c:pt idx="55">
                  <c:v>-2.652638969729157</c:v>
                </c:pt>
                <c:pt idx="56">
                  <c:v>-3.2824141941774148</c:v>
                </c:pt>
                <c:pt idx="57">
                  <c:v>-3.8913343480030846</c:v>
                </c:pt>
                <c:pt idx="58">
                  <c:v>-4.4804184848513966</c:v>
                </c:pt>
                <c:pt idx="59">
                  <c:v>-5.0506203296058869</c:v>
                </c:pt>
                <c:pt idx="60">
                  <c:v>-5.6028334308723791</c:v>
                </c:pt>
                <c:pt idx="61">
                  <c:v>-6.1378958333835287</c:v>
                </c:pt>
                <c:pt idx="62">
                  <c:v>-6.6565943217123582</c:v>
                </c:pt>
                <c:pt idx="63">
                  <c:v>-7.1596682804911289</c:v>
                </c:pt>
                <c:pt idx="64">
                  <c:v>-7.6478132109671133</c:v>
                </c:pt>
                <c:pt idx="65">
                  <c:v>-8.1216839390678928</c:v>
                </c:pt>
                <c:pt idx="66">
                  <c:v>-8.5818975460938773</c:v>
                </c:pt>
                <c:pt idx="67">
                  <c:v>-9.0290360496196609</c:v>
                </c:pt>
                <c:pt idx="68">
                  <c:v>-9.4636488590949774</c:v>
                </c:pt>
                <c:pt idx="69">
                  <c:v>-9.8862550279299803</c:v>
                </c:pt>
                <c:pt idx="70">
                  <c:v>-10.297345321474772</c:v>
                </c:pt>
                <c:pt idx="71">
                  <c:v>-10.697384118216105</c:v>
                </c:pt>
                <c:pt idx="72">
                  <c:v>-11.086811159676037</c:v>
                </c:pt>
                <c:pt idx="73">
                  <c:v>-11.466043162875659</c:v>
                </c:pt>
                <c:pt idx="74">
                  <c:v>-11.835475307794299</c:v>
                </c:pt>
                <c:pt idx="75">
                  <c:v>-12.016591899980959</c:v>
                </c:pt>
                <c:pt idx="76">
                  <c:v>-12.016591899980959</c:v>
                </c:pt>
                <c:pt idx="77">
                  <c:v>-12.016591899980959</c:v>
                </c:pt>
                <c:pt idx="78">
                  <c:v>-12.016591899980959</c:v>
                </c:pt>
                <c:pt idx="79">
                  <c:v>-12.016591899980959</c:v>
                </c:pt>
                <c:pt idx="80">
                  <c:v>-12.016591899980959</c:v>
                </c:pt>
                <c:pt idx="81">
                  <c:v>-12.016591899980959</c:v>
                </c:pt>
                <c:pt idx="82">
                  <c:v>-12.016591899980959</c:v>
                </c:pt>
                <c:pt idx="83">
                  <c:v>-12.016591899980959</c:v>
                </c:pt>
                <c:pt idx="84">
                  <c:v>-12.016591899980959</c:v>
                </c:pt>
                <c:pt idx="85">
                  <c:v>-12.016591899980959</c:v>
                </c:pt>
                <c:pt idx="86">
                  <c:v>-12.016591899980959</c:v>
                </c:pt>
                <c:pt idx="87">
                  <c:v>-12.016591899980959</c:v>
                </c:pt>
                <c:pt idx="88">
                  <c:v>-12.016591899980959</c:v>
                </c:pt>
                <c:pt idx="89">
                  <c:v>-12.016591899980959</c:v>
                </c:pt>
                <c:pt idx="90">
                  <c:v>-12.016591899980959</c:v>
                </c:pt>
                <c:pt idx="91">
                  <c:v>-12.016591899980959</c:v>
                </c:pt>
                <c:pt idx="92">
                  <c:v>-12.016591899980959</c:v>
                </c:pt>
                <c:pt idx="93">
                  <c:v>-12.016591899980959</c:v>
                </c:pt>
                <c:pt idx="94">
                  <c:v>-12.016591899980959</c:v>
                </c:pt>
                <c:pt idx="95">
                  <c:v>-12.016591899980959</c:v>
                </c:pt>
                <c:pt idx="96">
                  <c:v>-12.016591899980959</c:v>
                </c:pt>
                <c:pt idx="97">
                  <c:v>-12.016591899980959</c:v>
                </c:pt>
                <c:pt idx="98">
                  <c:v>-12.016591899980959</c:v>
                </c:pt>
                <c:pt idx="99">
                  <c:v>-12.016591899980959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14.715086719305365</c:v>
                </c:pt>
                <c:pt idx="1">
                  <c:v>14.715086719305365</c:v>
                </c:pt>
                <c:pt idx="2">
                  <c:v>14.715086719305365</c:v>
                </c:pt>
                <c:pt idx="3">
                  <c:v>14.715086719305365</c:v>
                </c:pt>
                <c:pt idx="4">
                  <c:v>14.715086719305365</c:v>
                </c:pt>
                <c:pt idx="5">
                  <c:v>14.715086719305365</c:v>
                </c:pt>
                <c:pt idx="6">
                  <c:v>14.715086719305365</c:v>
                </c:pt>
                <c:pt idx="7">
                  <c:v>14.715086719305365</c:v>
                </c:pt>
                <c:pt idx="8">
                  <c:v>14.715086719305365</c:v>
                </c:pt>
                <c:pt idx="9">
                  <c:v>14.715086719305365</c:v>
                </c:pt>
                <c:pt idx="10">
                  <c:v>14.715086719305365</c:v>
                </c:pt>
                <c:pt idx="11">
                  <c:v>14.715086719305365</c:v>
                </c:pt>
                <c:pt idx="12">
                  <c:v>14.715086719305365</c:v>
                </c:pt>
                <c:pt idx="13">
                  <c:v>14.715086719305365</c:v>
                </c:pt>
                <c:pt idx="14">
                  <c:v>14.715086719305365</c:v>
                </c:pt>
                <c:pt idx="15">
                  <c:v>14.715086719305365</c:v>
                </c:pt>
                <c:pt idx="16">
                  <c:v>14.715086719305365</c:v>
                </c:pt>
                <c:pt idx="17">
                  <c:v>14.715086719305365</c:v>
                </c:pt>
                <c:pt idx="18">
                  <c:v>14.715086719305365</c:v>
                </c:pt>
                <c:pt idx="19">
                  <c:v>14.715086719305365</c:v>
                </c:pt>
                <c:pt idx="20">
                  <c:v>14.715086719305365</c:v>
                </c:pt>
                <c:pt idx="21">
                  <c:v>14.715086719305365</c:v>
                </c:pt>
                <c:pt idx="22">
                  <c:v>13.833467529910273</c:v>
                </c:pt>
                <c:pt idx="23">
                  <c:v>12.623545684359634</c:v>
                </c:pt>
                <c:pt idx="24">
                  <c:v>11.509457182988356</c:v>
                </c:pt>
                <c:pt idx="25">
                  <c:v>10.480249868908498</c:v>
                </c:pt>
                <c:pt idx="26">
                  <c:v>9.526579209431187</c:v>
                </c:pt>
                <c:pt idx="27">
                  <c:v>8.6404237662490573</c:v>
                </c:pt>
                <c:pt idx="28">
                  <c:v>7.8148590296318687</c:v>
                </c:pt>
                <c:pt idx="29">
                  <c:v>7.0438761111545176</c:v>
                </c:pt>
                <c:pt idx="30">
                  <c:v>6.3222352468196803</c:v>
                </c:pt>
                <c:pt idx="31">
                  <c:v>5.6453465549571504</c:v>
                </c:pt>
                <c:pt idx="32">
                  <c:v>5.0091723111452264</c:v>
                </c:pt>
                <c:pt idx="33">
                  <c:v>4.4101463425839746</c:v>
                </c:pt>
                <c:pt idx="34">
                  <c:v>3.8451071423650358</c:v>
                </c:pt>
                <c:pt idx="35">
                  <c:v>3.311242054318047</c:v>
                </c:pt>
                <c:pt idx="36">
                  <c:v>2.8060404480870105</c:v>
                </c:pt>
                <c:pt idx="37">
                  <c:v>2.3272542391890827</c:v>
                </c:pt>
                <c:pt idx="38">
                  <c:v>1.8728644441405375</c:v>
                </c:pt>
                <c:pt idx="39">
                  <c:v>1.4410527210871358</c:v>
                </c:pt>
                <c:pt idx="40">
                  <c:v>1.03017704992501</c:v>
                </c:pt>
                <c:pt idx="41">
                  <c:v>0.63875086608800125</c:v>
                </c:pt>
                <c:pt idx="42">
                  <c:v>0.2654250890335863</c:v>
                </c:pt>
                <c:pt idx="43">
                  <c:v>-9.1027412485450654E-2</c:v>
                </c:pt>
                <c:pt idx="44">
                  <c:v>-0.43172529532049531</c:v>
                </c:pt>
                <c:pt idx="45">
                  <c:v>-0.75769046875186064</c:v>
                </c:pt>
                <c:pt idx="46">
                  <c:v>-1.0698583322100319</c:v>
                </c:pt>
                <c:pt idx="47">
                  <c:v>-1.3690867399265656</c:v>
                </c:pt>
                <c:pt idx="48">
                  <c:v>-1.6561638734568422</c:v>
                </c:pt>
                <c:pt idx="49">
                  <c:v>-1.9318151742101399</c:v>
                </c:pt>
                <c:pt idx="50">
                  <c:v>-2.196709464375</c:v>
                </c:pt>
                <c:pt idx="51">
                  <c:v>-2.4514643649704961</c:v>
                </c:pt>
                <c:pt idx="52">
                  <c:v>-2.6966511034190059</c:v>
                </c:pt>
                <c:pt idx="53">
                  <c:v>-2.9327987894111995</c:v>
                </c:pt>
                <c:pt idx="54">
                  <c:v>-3.1603982264282005</c:v>
                </c:pt>
                <c:pt idx="55">
                  <c:v>-3.3799053167053081</c:v>
                </c:pt>
                <c:pt idx="56">
                  <c:v>-3.5917441093469913</c:v>
                </c:pt>
                <c:pt idx="57">
                  <c:v>-3.7963095344758484</c:v>
                </c:pt>
                <c:pt idx="58">
                  <c:v>-3.9939698605082805</c:v>
                </c:pt>
                <c:pt idx="59">
                  <c:v>-4.1850689067243634</c:v>
                </c:pt>
                <c:pt idx="60">
                  <c:v>-4.3699280390981299</c:v>
                </c:pt>
                <c:pt idx="61">
                  <c:v>-4.5488479737603216</c:v>
                </c:pt>
                <c:pt idx="62">
                  <c:v>-4.7221104093831219</c:v>
                </c:pt>
                <c:pt idx="63">
                  <c:v>-4.8899795071255907</c:v>
                </c:pt>
                <c:pt idx="64">
                  <c:v>-5.0527032344932783</c:v>
                </c:pt>
                <c:pt idx="65">
                  <c:v>-5.2105145874907883</c:v>
                </c:pt>
                <c:pt idx="66">
                  <c:v>-5.3636327037355951</c:v>
                </c:pt>
                <c:pt idx="67">
                  <c:v>-5.5122638777164559</c:v>
                </c:pt>
                <c:pt idx="68">
                  <c:v>-5.6566024880879011</c:v>
                </c:pt>
                <c:pt idx="69">
                  <c:v>-5.7968318457657926</c:v>
                </c:pt>
                <c:pt idx="70">
                  <c:v>-5.9331249706048528</c:v>
                </c:pt>
                <c:pt idx="71">
                  <c:v>-6.0656453035775026</c:v>
                </c:pt>
                <c:pt idx="72">
                  <c:v>-6.1945473606176611</c:v>
                </c:pt>
                <c:pt idx="73">
                  <c:v>-6.3199773336290717</c:v>
                </c:pt>
                <c:pt idx="74">
                  <c:v>-6.4420736435730426</c:v>
                </c:pt>
                <c:pt idx="75">
                  <c:v>-6.5609674500348198</c:v>
                </c:pt>
                <c:pt idx="76">
                  <c:v>-6.6767831212122939</c:v>
                </c:pt>
                <c:pt idx="77">
                  <c:v>-6.7896386678674689</c:v>
                </c:pt>
                <c:pt idx="78">
                  <c:v>-6.8996461444237696</c:v>
                </c:pt>
                <c:pt idx="79">
                  <c:v>-7.0069120200749992</c:v>
                </c:pt>
                <c:pt idx="80">
                  <c:v>-7.1115375224894866</c:v>
                </c:pt>
                <c:pt idx="81">
                  <c:v>-7.2136189564417625</c:v>
                </c:pt>
                <c:pt idx="82">
                  <c:v>-7.3132479994799349</c:v>
                </c:pt>
                <c:pt idx="83">
                  <c:v>-7.4105119765367826</c:v>
                </c:pt>
                <c:pt idx="84">
                  <c:v>-7.5054941152134838</c:v>
                </c:pt>
                <c:pt idx="85">
                  <c:v>-7.5982737833046059</c:v>
                </c:pt>
                <c:pt idx="86">
                  <c:v>-7.6889267099890866</c:v>
                </c:pt>
                <c:pt idx="87">
                  <c:v>-7.7775251919828419</c:v>
                </c:pt>
                <c:pt idx="88">
                  <c:v>-7.8641382858324356</c:v>
                </c:pt>
                <c:pt idx="89">
                  <c:v>-7.948831987424791</c:v>
                </c:pt>
                <c:pt idx="90">
                  <c:v>-8.0316693996935555</c:v>
                </c:pt>
                <c:pt idx="91">
                  <c:v>-8.1127108894178352</c:v>
                </c:pt>
                <c:pt idx="92">
                  <c:v>-8.1920142339320385</c:v>
                </c:pt>
                <c:pt idx="93">
                  <c:v>-8.2696347584961512</c:v>
                </c:pt>
                <c:pt idx="94">
                  <c:v>-8.3456254650128443</c:v>
                </c:pt>
                <c:pt idx="95">
                  <c:v>-8.4200371527206652</c:v>
                </c:pt>
                <c:pt idx="96">
                  <c:v>-8.4929185314409334</c:v>
                </c:pt>
                <c:pt idx="97">
                  <c:v>-8.5643163279088093</c:v>
                </c:pt>
                <c:pt idx="98">
                  <c:v>-8.6342753856763483</c:v>
                </c:pt>
                <c:pt idx="99">
                  <c:v>-8.7028387590363359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LDO-42STH48-1684MAH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17.968056041542809</c:v>
                </c:pt>
                <c:pt idx="1">
                  <c:v>17.968056041542809</c:v>
                </c:pt>
                <c:pt idx="2">
                  <c:v>17.968056041542809</c:v>
                </c:pt>
                <c:pt idx="3">
                  <c:v>17.968056041542809</c:v>
                </c:pt>
                <c:pt idx="4">
                  <c:v>17.968056041542809</c:v>
                </c:pt>
                <c:pt idx="5">
                  <c:v>17.968056041542809</c:v>
                </c:pt>
                <c:pt idx="6">
                  <c:v>17.968056041542809</c:v>
                </c:pt>
                <c:pt idx="7">
                  <c:v>17.968056041542809</c:v>
                </c:pt>
                <c:pt idx="8">
                  <c:v>17.968056041542809</c:v>
                </c:pt>
                <c:pt idx="9">
                  <c:v>17.968056041542809</c:v>
                </c:pt>
                <c:pt idx="10">
                  <c:v>17.968056041542809</c:v>
                </c:pt>
                <c:pt idx="11">
                  <c:v>17.968056041542809</c:v>
                </c:pt>
                <c:pt idx="12">
                  <c:v>17.968056041542809</c:v>
                </c:pt>
                <c:pt idx="13">
                  <c:v>17.968056041542809</c:v>
                </c:pt>
                <c:pt idx="14">
                  <c:v>17.968056041542809</c:v>
                </c:pt>
                <c:pt idx="15">
                  <c:v>17.968056041542809</c:v>
                </c:pt>
                <c:pt idx="16">
                  <c:v>17.968056041542809</c:v>
                </c:pt>
                <c:pt idx="17">
                  <c:v>17.968056041542809</c:v>
                </c:pt>
                <c:pt idx="18">
                  <c:v>17.968056041542809</c:v>
                </c:pt>
                <c:pt idx="19">
                  <c:v>17.968056041542809</c:v>
                </c:pt>
                <c:pt idx="20">
                  <c:v>17.968056041542809</c:v>
                </c:pt>
                <c:pt idx="21">
                  <c:v>17.968056041542809</c:v>
                </c:pt>
                <c:pt idx="22">
                  <c:v>17.968056041542809</c:v>
                </c:pt>
                <c:pt idx="23">
                  <c:v>17.5007188591321</c:v>
                </c:pt>
                <c:pt idx="24">
                  <c:v>16.080853416383363</c:v>
                </c:pt>
                <c:pt idx="25">
                  <c:v>14.766649194061484</c:v>
                </c:pt>
                <c:pt idx="26">
                  <c:v>13.546734911433115</c:v>
                </c:pt>
                <c:pt idx="27">
                  <c:v>12.411314485929696</c:v>
                </c:pt>
                <c:pt idx="28">
                  <c:v>11.351903408803208</c:v>
                </c:pt>
                <c:pt idx="29">
                  <c:v>10.361116350079625</c:v>
                </c:pt>
                <c:pt idx="30">
                  <c:v>9.4324947427405181</c:v>
                </c:pt>
                <c:pt idx="31">
                  <c:v>8.5603658336551494</c:v>
                </c:pt>
                <c:pt idx="32">
                  <c:v>7.7397266990641551</c:v>
                </c:pt>
                <c:pt idx="33">
                  <c:v>6.9661482139251607</c:v>
                </c:pt>
                <c:pt idx="34">
                  <c:v>6.2356950817718015</c:v>
                </c:pt>
                <c:pt idx="35">
                  <c:v>5.5448588763776225</c:v>
                </c:pt>
                <c:pt idx="36">
                  <c:v>4.8905016904543057</c:v>
                </c:pt>
                <c:pt idx="37">
                  <c:v>4.2698084814757387</c:v>
                </c:pt>
                <c:pt idx="38">
                  <c:v>3.6802465878906663</c:v>
                </c:pt>
                <c:pt idx="39">
                  <c:v>3.1195311877919387</c:v>
                </c:pt>
                <c:pt idx="40">
                  <c:v>2.585595706695619</c:v>
                </c:pt>
                <c:pt idx="41">
                  <c:v>2.0765663664272314</c:v>
                </c:pt>
                <c:pt idx="42">
                  <c:v>1.5907402144380143</c:v>
                </c:pt>
                <c:pt idx="43">
                  <c:v>1.1265660906525525</c:v>
                </c:pt>
                <c:pt idx="44">
                  <c:v>0.68262808362212013</c:v>
                </c:pt>
                <c:pt idx="45">
                  <c:v>0.25763110425377711</c:v>
                </c:pt>
                <c:pt idx="46">
                  <c:v>-0.14961173249892923</c:v>
                </c:pt>
                <c:pt idx="47">
                  <c:v>-0.54019017692017535</c:v>
                </c:pt>
                <c:pt idx="48">
                  <c:v>-0.91510658219452168</c:v>
                </c:pt>
                <c:pt idx="49">
                  <c:v>-1.2752844936656604</c:v>
                </c:pt>
                <c:pt idx="50">
                  <c:v>-1.6215762446543085</c:v>
                </c:pt>
                <c:pt idx="51">
                  <c:v>-1.9547696903524843</c:v>
                </c:pt>
                <c:pt idx="52">
                  <c:v>-2.2755941917825959</c:v>
                </c:pt>
                <c:pt idx="53">
                  <c:v>-2.5847259454836724</c:v>
                </c:pt>
                <c:pt idx="54">
                  <c:v>-2.8827927408905607</c:v>
                </c:pt>
                <c:pt idx="55">
                  <c:v>-3.1703782158429181</c:v>
                </c:pt>
                <c:pt idx="56">
                  <c:v>-3.4480256709245145</c:v>
                </c:pt>
                <c:pt idx="57">
                  <c:v>-3.7162414950853702</c:v>
                </c:pt>
                <c:pt idx="58">
                  <c:v>-3.9754982479912027</c:v>
                </c:pt>
                <c:pt idx="59">
                  <c:v>-4.2262374385724248</c:v>
                </c:pt>
                <c:pt idx="60">
                  <c:v>-4.4688720341416301</c:v>
                </c:pt>
                <c:pt idx="61">
                  <c:v>-4.7037887300755035</c:v>
                </c:pt>
                <c:pt idx="62">
                  <c:v>-4.9313500063003772</c:v>
                </c:pt>
                <c:pt idx="63">
                  <c:v>-5.1518959935849242</c:v>
                </c:pt>
                <c:pt idx="64">
                  <c:v>-5.3657461698500777</c:v>
                </c:pt>
                <c:pt idx="65">
                  <c:v>-5.5732009042884512</c:v>
                </c:pt>
                <c:pt idx="66">
                  <c:v>-5.7745428649886943</c:v>
                </c:pt>
                <c:pt idx="67">
                  <c:v>-5.9700383039369793</c:v>
                </c:pt>
                <c:pt idx="68">
                  <c:v>-6.1599382316797833</c:v>
                </c:pt>
                <c:pt idx="69">
                  <c:v>-6.3444794925454389</c:v>
                </c:pt>
                <c:pt idx="70">
                  <c:v>-6.5238857501090681</c:v>
                </c:pt>
                <c:pt idx="71">
                  <c:v>-6.6983683915223811</c:v>
                </c:pt>
                <c:pt idx="72">
                  <c:v>-6.8681273583961548</c:v>
                </c:pt>
                <c:pt idx="73">
                  <c:v>-7.0333519111018905</c:v>
                </c:pt>
                <c:pt idx="74">
                  <c:v>-7.1942213326350828</c:v>
                </c:pt>
                <c:pt idx="75">
                  <c:v>-7.350905577543414</c:v>
                </c:pt>
                <c:pt idx="76">
                  <c:v>-7.5035658708577788</c:v>
                </c:pt>
                <c:pt idx="77">
                  <c:v>-7.6523552614632608</c:v>
                </c:pt>
                <c:pt idx="78">
                  <c:v>-7.7974191339027552</c:v>
                </c:pt>
                <c:pt idx="79">
                  <c:v>-7.9388956822110019</c:v>
                </c:pt>
                <c:pt idx="80">
                  <c:v>-8.0769163490252414</c:v>
                </c:pt>
                <c:pt idx="81">
                  <c:v>-8.2116062329053658</c:v>
                </c:pt>
                <c:pt idx="82">
                  <c:v>-8.3430844665166966</c:v>
                </c:pt>
                <c:pt idx="83">
                  <c:v>-8.4714645680784457</c:v>
                </c:pt>
                <c:pt idx="84">
                  <c:v>-8.5968547682570602</c:v>
                </c:pt>
                <c:pt idx="85">
                  <c:v>-8.7193583144829603</c:v>
                </c:pt>
                <c:pt idx="86">
                  <c:v>-8.8390737544891049</c:v>
                </c:pt>
                <c:pt idx="87">
                  <c:v>-8.9560952007078676</c:v>
                </c:pt>
                <c:pt idx="88">
                  <c:v>-9.0705125770171158</c:v>
                </c:pt>
                <c:pt idx="89">
                  <c:v>-9.1824118491950646</c:v>
                </c:pt>
                <c:pt idx="90">
                  <c:v>-9.2918752403251688</c:v>
                </c:pt>
                <c:pt idx="91">
                  <c:v>-9.3989814322853356</c:v>
                </c:pt>
                <c:pt idx="92">
                  <c:v>-9.5038057543591048</c:v>
                </c:pt>
                <c:pt idx="93">
                  <c:v>-9.6064203599189604</c:v>
                </c:pt>
                <c:pt idx="94">
                  <c:v>-9.6132735199847676</c:v>
                </c:pt>
                <c:pt idx="95">
                  <c:v>-9.6132735199847676</c:v>
                </c:pt>
                <c:pt idx="96">
                  <c:v>-9.6132735199847676</c:v>
                </c:pt>
                <c:pt idx="97">
                  <c:v>-9.6132735199847676</c:v>
                </c:pt>
                <c:pt idx="98">
                  <c:v>-9.6132735199847676</c:v>
                </c:pt>
                <c:pt idx="99">
                  <c:v>-9.6132735199847676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LDO-42STH47-2504AC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28.505538361203357</c:v>
                </c:pt>
                <c:pt idx="1">
                  <c:v>28.505538361203357</c:v>
                </c:pt>
                <c:pt idx="2">
                  <c:v>28.505538361203357</c:v>
                </c:pt>
                <c:pt idx="3">
                  <c:v>28.505538361203357</c:v>
                </c:pt>
                <c:pt idx="4">
                  <c:v>28.505538361203357</c:v>
                </c:pt>
                <c:pt idx="5">
                  <c:v>28.505538361203357</c:v>
                </c:pt>
                <c:pt idx="6">
                  <c:v>28.505538361203357</c:v>
                </c:pt>
                <c:pt idx="7">
                  <c:v>28.505538361203357</c:v>
                </c:pt>
                <c:pt idx="8">
                  <c:v>28.505538361203357</c:v>
                </c:pt>
                <c:pt idx="9">
                  <c:v>28.505538361203357</c:v>
                </c:pt>
                <c:pt idx="10">
                  <c:v>28.505538361203357</c:v>
                </c:pt>
                <c:pt idx="11">
                  <c:v>28.505538361203357</c:v>
                </c:pt>
                <c:pt idx="12">
                  <c:v>28.505538361203357</c:v>
                </c:pt>
                <c:pt idx="13">
                  <c:v>28.505538361203357</c:v>
                </c:pt>
                <c:pt idx="14">
                  <c:v>28.505538361203357</c:v>
                </c:pt>
                <c:pt idx="15">
                  <c:v>28.505538361203357</c:v>
                </c:pt>
                <c:pt idx="16">
                  <c:v>28.505538361203357</c:v>
                </c:pt>
                <c:pt idx="17">
                  <c:v>28.505538361203357</c:v>
                </c:pt>
                <c:pt idx="18">
                  <c:v>28.505538361203357</c:v>
                </c:pt>
                <c:pt idx="19">
                  <c:v>28.505538361203357</c:v>
                </c:pt>
                <c:pt idx="20">
                  <c:v>28.505538361203357</c:v>
                </c:pt>
                <c:pt idx="21">
                  <c:v>28.505538361203357</c:v>
                </c:pt>
                <c:pt idx="22">
                  <c:v>28.505538361203357</c:v>
                </c:pt>
                <c:pt idx="23">
                  <c:v>28.505538361203357</c:v>
                </c:pt>
                <c:pt idx="24">
                  <c:v>28.505538361203357</c:v>
                </c:pt>
                <c:pt idx="25">
                  <c:v>28.505538361203357</c:v>
                </c:pt>
                <c:pt idx="26">
                  <c:v>28.505538361203357</c:v>
                </c:pt>
                <c:pt idx="27">
                  <c:v>28.505538361203357</c:v>
                </c:pt>
                <c:pt idx="28">
                  <c:v>28.505538361203357</c:v>
                </c:pt>
                <c:pt idx="29">
                  <c:v>28.505538361203357</c:v>
                </c:pt>
                <c:pt idx="30">
                  <c:v>28.505538361203357</c:v>
                </c:pt>
                <c:pt idx="31">
                  <c:v>28.505538361203357</c:v>
                </c:pt>
                <c:pt idx="32">
                  <c:v>28.505538361203357</c:v>
                </c:pt>
                <c:pt idx="33">
                  <c:v>28.505538361203357</c:v>
                </c:pt>
                <c:pt idx="34">
                  <c:v>28.505538361203357</c:v>
                </c:pt>
                <c:pt idx="35">
                  <c:v>28.505538361203357</c:v>
                </c:pt>
                <c:pt idx="36">
                  <c:v>28.505538361203357</c:v>
                </c:pt>
                <c:pt idx="37">
                  <c:v>28.505538361203357</c:v>
                </c:pt>
                <c:pt idx="38">
                  <c:v>28.267985492283039</c:v>
                </c:pt>
                <c:pt idx="39">
                  <c:v>26.80065399632479</c:v>
                </c:pt>
                <c:pt idx="40">
                  <c:v>25.399387116591797</c:v>
                </c:pt>
                <c:pt idx="41">
                  <c:v>24.059821377867095</c:v>
                </c:pt>
                <c:pt idx="42">
                  <c:v>22.777969295603505</c:v>
                </c:pt>
                <c:pt idx="43">
                  <c:v>21.550179732108745</c:v>
                </c:pt>
                <c:pt idx="44">
                  <c:v>20.373103165111473</c:v>
                </c:pt>
                <c:pt idx="45">
                  <c:v>19.243661172918948</c:v>
                </c:pt>
                <c:pt idx="46">
                  <c:v>18.159019550773806</c:v>
                </c:pt>
                <c:pt idx="47">
                  <c:v>17.116564564091455</c:v>
                </c:pt>
                <c:pt idx="48">
                  <c:v>16.113881919697988</c:v>
                </c:pt>
                <c:pt idx="49">
                  <c:v>15.148738098916988</c:v>
                </c:pt>
                <c:pt idx="50">
                  <c:v>14.219063748708857</c:v>
                </c:pt>
                <c:pt idx="51">
                  <c:v>13.322938870918749</c:v>
                </c:pt>
                <c:pt idx="52">
                  <c:v>12.458579586547236</c:v>
                </c:pt>
                <c:pt idx="53">
                  <c:v>11.624326283038227</c:v>
                </c:pt>
                <c:pt idx="54">
                  <c:v>10.818632978871451</c:v>
                </c:pt>
                <c:pt idx="55">
                  <c:v>10.040057762057058</c:v>
                </c:pt>
                <c:pt idx="56">
                  <c:v>9.2872541781169193</c:v>
                </c:pt>
                <c:pt idx="57">
                  <c:v>8.5589634593421255</c:v>
                </c:pt>
                <c:pt idx="58">
                  <c:v>7.8540075009847445</c:v>
                </c:pt>
                <c:pt idx="59">
                  <c:v>7.1712825019420787</c:v>
                </c:pt>
                <c:pt idx="60">
                  <c:v>6.5097531977297241</c:v>
                </c:pt>
                <c:pt idx="61">
                  <c:v>5.8684476223689757</c:v>
                </c:pt>
                <c:pt idx="62">
                  <c:v>5.246452343447352</c:v>
                </c:pt>
                <c:pt idx="63">
                  <c:v>4.6429081212248917</c:v>
                </c:pt>
                <c:pt idx="64">
                  <c:v>4.0570059484032175</c:v>
                </c:pt>
                <c:pt idx="65">
                  <c:v>3.4879834321735643</c:v>
                </c:pt>
                <c:pt idx="66">
                  <c:v>2.9351214845206268</c:v>
                </c:pt>
                <c:pt idx="67">
                  <c:v>2.3977412905699467</c:v>
                </c:pt>
                <c:pt idx="68">
                  <c:v>1.8752015281040215</c:v>
                </c:pt>
                <c:pt idx="69">
                  <c:v>1.3668958143006282</c:v>
                </c:pt>
                <c:pt idx="70">
                  <c:v>0.87225035832093134</c:v>
                </c:pt>
                <c:pt idx="71">
                  <c:v>0.39072180064205675</c:v>
                </c:pt>
                <c:pt idx="72">
                  <c:v>-7.820477797129044E-2</c:v>
                </c:pt>
                <c:pt idx="73">
                  <c:v>-0.53501769319393588</c:v>
                </c:pt>
                <c:pt idx="74">
                  <c:v>-0.98018035333939224</c:v>
                </c:pt>
                <c:pt idx="75">
                  <c:v>-1.4141328274167471</c:v>
                </c:pt>
                <c:pt idx="76">
                  <c:v>-1.8372932961991228</c:v>
                </c:pt>
                <c:pt idx="77">
                  <c:v>-2.2500593963614701</c:v>
                </c:pt>
                <c:pt idx="78">
                  <c:v>-2.6528094667693249</c:v>
                </c:pt>
                <c:pt idx="79">
                  <c:v>-3.0459037051291631</c:v>
                </c:pt>
                <c:pt idx="80">
                  <c:v>-3.4296852424330071</c:v>
                </c:pt>
                <c:pt idx="81">
                  <c:v>-3.8044811419337403</c:v>
                </c:pt>
                <c:pt idx="82">
                  <c:v>-4.1706033287640842</c:v>
                </c:pt>
                <c:pt idx="83">
                  <c:v>-4.5283494557527533</c:v>
                </c:pt>
                <c:pt idx="84">
                  <c:v>-4.8780037104888212</c:v>
                </c:pt>
                <c:pt idx="85">
                  <c:v>-5.2198375682334692</c:v>
                </c:pt>
                <c:pt idx="86">
                  <c:v>-5.5541104948713977</c:v>
                </c:pt>
                <c:pt idx="87">
                  <c:v>-5.881070603727256</c:v>
                </c:pt>
                <c:pt idx="88">
                  <c:v>-6.2009552697414136</c:v>
                </c:pt>
                <c:pt idx="89">
                  <c:v>-6.5139917042000928</c:v>
                </c:pt>
                <c:pt idx="90">
                  <c:v>-6.8203974929441884</c:v>
                </c:pt>
                <c:pt idx="91">
                  <c:v>-7.1203811007359894</c:v>
                </c:pt>
                <c:pt idx="92">
                  <c:v>-7.4141423442406351</c:v>
                </c:pt>
                <c:pt idx="93">
                  <c:v>-7.7018728358774444</c:v>
                </c:pt>
                <c:pt idx="94">
                  <c:v>-7.9837564006129558</c:v>
                </c:pt>
                <c:pt idx="95">
                  <c:v>-8.259969467600758</c:v>
                </c:pt>
                <c:pt idx="96">
                  <c:v>-8.53068143842148</c:v>
                </c:pt>
                <c:pt idx="97">
                  <c:v>-8.796055033537959</c:v>
                </c:pt>
                <c:pt idx="98">
                  <c:v>-9.0562466184544874</c:v>
                </c:pt>
                <c:pt idx="99">
                  <c:v>-9.3114065109538444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LDO-42STH60-2004AH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44.278816735581543</c:v>
                </c:pt>
                <c:pt idx="1">
                  <c:v>44.278816735581543</c:v>
                </c:pt>
                <c:pt idx="2">
                  <c:v>44.278816735581543</c:v>
                </c:pt>
                <c:pt idx="3">
                  <c:v>44.278816735581543</c:v>
                </c:pt>
                <c:pt idx="4">
                  <c:v>44.278816735581543</c:v>
                </c:pt>
                <c:pt idx="5">
                  <c:v>44.278816735581543</c:v>
                </c:pt>
                <c:pt idx="6">
                  <c:v>44.278816735581543</c:v>
                </c:pt>
                <c:pt idx="7">
                  <c:v>44.278816735581543</c:v>
                </c:pt>
                <c:pt idx="8">
                  <c:v>44.278816735581543</c:v>
                </c:pt>
                <c:pt idx="9">
                  <c:v>44.278816735581543</c:v>
                </c:pt>
                <c:pt idx="10">
                  <c:v>44.278816735581543</c:v>
                </c:pt>
                <c:pt idx="11">
                  <c:v>44.278816735581543</c:v>
                </c:pt>
                <c:pt idx="12">
                  <c:v>44.278816735581543</c:v>
                </c:pt>
                <c:pt idx="13">
                  <c:v>44.278816735581543</c:v>
                </c:pt>
                <c:pt idx="14">
                  <c:v>44.278816735581543</c:v>
                </c:pt>
                <c:pt idx="15">
                  <c:v>44.278816735581543</c:v>
                </c:pt>
                <c:pt idx="16">
                  <c:v>44.278816735581543</c:v>
                </c:pt>
                <c:pt idx="17">
                  <c:v>44.278816735581543</c:v>
                </c:pt>
                <c:pt idx="18">
                  <c:v>44.278816735581543</c:v>
                </c:pt>
                <c:pt idx="19">
                  <c:v>44.278816735581543</c:v>
                </c:pt>
                <c:pt idx="20">
                  <c:v>44.278816735581543</c:v>
                </c:pt>
                <c:pt idx="21">
                  <c:v>44.278816735581543</c:v>
                </c:pt>
                <c:pt idx="22">
                  <c:v>44.278816735581543</c:v>
                </c:pt>
                <c:pt idx="23">
                  <c:v>42.064815136440842</c:v>
                </c:pt>
                <c:pt idx="24">
                  <c:v>38.16330517699037</c:v>
                </c:pt>
                <c:pt idx="25">
                  <c:v>34.532184973821167</c:v>
                </c:pt>
                <c:pt idx="26">
                  <c:v>31.144287336151386</c:v>
                </c:pt>
                <c:pt idx="27">
                  <c:v>27.975966600846021</c:v>
                </c:pt>
                <c:pt idx="28">
                  <c:v>25.006545948361897</c:v>
                </c:pt>
                <c:pt idx="29">
                  <c:v>22.217865639698239</c:v>
                </c:pt>
                <c:pt idx="30">
                  <c:v>19.593911309612899</c:v>
                </c:pt>
                <c:pt idx="31">
                  <c:v>17.120506239817793</c:v>
                </c:pt>
                <c:pt idx="32">
                  <c:v>14.785055122481776</c:v>
                </c:pt>
                <c:pt idx="33">
                  <c:v>12.576329535211254</c:v>
                </c:pt>
                <c:pt idx="34">
                  <c:v>10.484287415079788</c:v>
                </c:pt>
                <c:pt idx="35">
                  <c:v>8.4999204070784025</c:v>
                </c:pt>
                <c:pt idx="36">
                  <c:v>6.6151241916353669</c:v>
                </c:pt>
                <c:pt idx="37">
                  <c:v>4.8225878543547438</c:v>
                </c:pt>
                <c:pt idx="38">
                  <c:v>3.1156991135353671</c:v>
                </c:pt>
                <c:pt idx="39">
                  <c:v>1.4884628154433859</c:v>
                </c:pt>
                <c:pt idx="40">
                  <c:v>-6.456942025496204E-2</c:v>
                </c:pt>
                <c:pt idx="41">
                  <c:v>-1.5483601448440272</c:v>
                </c:pt>
                <c:pt idx="42">
                  <c:v>-2.9674390511034208</c:v>
                </c:pt>
                <c:pt idx="43">
                  <c:v>-4.3259491612234058</c:v>
                </c:pt>
                <c:pt idx="44">
                  <c:v>-5.627687224150371</c:v>
                </c:pt>
                <c:pt idx="45">
                  <c:v>-6.8761391519841455</c:v>
                </c:pt>
                <c:pt idx="46">
                  <c:v>-8.0745111919320003</c:v>
                </c:pt>
                <c:pt idx="47">
                  <c:v>-9.225757420764543</c:v>
                </c:pt>
                <c:pt idx="48">
                  <c:v>-10.332604058173086</c:v>
                </c:pt>
                <c:pt idx="49">
                  <c:v>-11.397571020298685</c:v>
                </c:pt>
                <c:pt idx="50">
                  <c:v>-12.422991072129149</c:v>
                </c:pt>
                <c:pt idx="51">
                  <c:v>-13.411026885151109</c:v>
                </c:pt>
                <c:pt idx="52">
                  <c:v>-14.363686262764126</c:v>
                </c:pt>
                <c:pt idx="53">
                  <c:v>-14.419910279977152</c:v>
                </c:pt>
                <c:pt idx="54">
                  <c:v>-14.419910279977152</c:v>
                </c:pt>
                <c:pt idx="55">
                  <c:v>-14.419910279977152</c:v>
                </c:pt>
                <c:pt idx="56">
                  <c:v>-14.419910279977152</c:v>
                </c:pt>
                <c:pt idx="57">
                  <c:v>-14.419910279977152</c:v>
                </c:pt>
                <c:pt idx="58">
                  <c:v>-14.419910279977152</c:v>
                </c:pt>
                <c:pt idx="59">
                  <c:v>-14.419910279977152</c:v>
                </c:pt>
                <c:pt idx="60">
                  <c:v>-14.419910279977152</c:v>
                </c:pt>
                <c:pt idx="61">
                  <c:v>-14.419910279977152</c:v>
                </c:pt>
                <c:pt idx="62">
                  <c:v>-14.419910279977152</c:v>
                </c:pt>
                <c:pt idx="63">
                  <c:v>-14.419910279977152</c:v>
                </c:pt>
                <c:pt idx="64">
                  <c:v>-14.419910279977152</c:v>
                </c:pt>
                <c:pt idx="65">
                  <c:v>-14.419910279977152</c:v>
                </c:pt>
                <c:pt idx="66">
                  <c:v>-14.419910279977152</c:v>
                </c:pt>
                <c:pt idx="67">
                  <c:v>-14.419910279977152</c:v>
                </c:pt>
                <c:pt idx="68">
                  <c:v>-14.419910279977152</c:v>
                </c:pt>
                <c:pt idx="69">
                  <c:v>-14.419910279977152</c:v>
                </c:pt>
                <c:pt idx="70">
                  <c:v>-14.419910279977152</c:v>
                </c:pt>
                <c:pt idx="71">
                  <c:v>-14.419910279977152</c:v>
                </c:pt>
                <c:pt idx="72">
                  <c:v>-14.419910279977152</c:v>
                </c:pt>
                <c:pt idx="73">
                  <c:v>-14.419910279977152</c:v>
                </c:pt>
                <c:pt idx="74">
                  <c:v>-14.419910279977152</c:v>
                </c:pt>
                <c:pt idx="75">
                  <c:v>-14.419910279977152</c:v>
                </c:pt>
                <c:pt idx="76">
                  <c:v>-14.419910279977152</c:v>
                </c:pt>
                <c:pt idx="77">
                  <c:v>-14.419910279977152</c:v>
                </c:pt>
                <c:pt idx="78">
                  <c:v>-14.419910279977152</c:v>
                </c:pt>
                <c:pt idx="79">
                  <c:v>-14.419910279977152</c:v>
                </c:pt>
                <c:pt idx="80">
                  <c:v>-14.419910279977152</c:v>
                </c:pt>
                <c:pt idx="81">
                  <c:v>-14.419910279977152</c:v>
                </c:pt>
                <c:pt idx="82">
                  <c:v>-14.419910279977152</c:v>
                </c:pt>
                <c:pt idx="83">
                  <c:v>-14.419910279977152</c:v>
                </c:pt>
                <c:pt idx="84">
                  <c:v>-14.419910279977152</c:v>
                </c:pt>
                <c:pt idx="85">
                  <c:v>-14.419910279977152</c:v>
                </c:pt>
                <c:pt idx="86">
                  <c:v>-14.419910279977152</c:v>
                </c:pt>
                <c:pt idx="87">
                  <c:v>-14.419910279977152</c:v>
                </c:pt>
                <c:pt idx="88">
                  <c:v>-14.419910279977152</c:v>
                </c:pt>
                <c:pt idx="89">
                  <c:v>-14.419910279977152</c:v>
                </c:pt>
                <c:pt idx="90">
                  <c:v>-14.419910279977152</c:v>
                </c:pt>
                <c:pt idx="91">
                  <c:v>-14.419910279977152</c:v>
                </c:pt>
                <c:pt idx="92">
                  <c:v>-14.419910279977152</c:v>
                </c:pt>
                <c:pt idx="93">
                  <c:v>-14.419910279977152</c:v>
                </c:pt>
                <c:pt idx="94">
                  <c:v>-14.419910279977152</c:v>
                </c:pt>
                <c:pt idx="95">
                  <c:v>-14.419910279977152</c:v>
                </c:pt>
                <c:pt idx="96">
                  <c:v>-14.419910279977152</c:v>
                </c:pt>
                <c:pt idx="97">
                  <c:v>-14.419910279977152</c:v>
                </c:pt>
                <c:pt idx="98">
                  <c:v>-14.419910279977152</c:v>
                </c:pt>
                <c:pt idx="99">
                  <c:v>-14.419910279977152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48V, 20T, 90k, 500g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28.647889756541161</c:v>
                </c:pt>
                <c:pt idx="1">
                  <c:v>28.647889756541161</c:v>
                </c:pt>
                <c:pt idx="2">
                  <c:v>28.647889756541161</c:v>
                </c:pt>
                <c:pt idx="3">
                  <c:v>28.647889756541161</c:v>
                </c:pt>
                <c:pt idx="4">
                  <c:v>28.647889756541161</c:v>
                </c:pt>
                <c:pt idx="5">
                  <c:v>28.647889756541161</c:v>
                </c:pt>
                <c:pt idx="6">
                  <c:v>28.647889756541161</c:v>
                </c:pt>
                <c:pt idx="7">
                  <c:v>28.647889756541161</c:v>
                </c:pt>
                <c:pt idx="8">
                  <c:v>28.647889756541161</c:v>
                </c:pt>
                <c:pt idx="9">
                  <c:v>28.647889756541161</c:v>
                </c:pt>
                <c:pt idx="10">
                  <c:v>28.647889756541161</c:v>
                </c:pt>
                <c:pt idx="11">
                  <c:v>28.647889756541161</c:v>
                </c:pt>
                <c:pt idx="12">
                  <c:v>28.647889756541161</c:v>
                </c:pt>
                <c:pt idx="13">
                  <c:v>28.647889756541161</c:v>
                </c:pt>
                <c:pt idx="14">
                  <c:v>28.647889756541161</c:v>
                </c:pt>
                <c:pt idx="15">
                  <c:v>28.647889756541161</c:v>
                </c:pt>
                <c:pt idx="16">
                  <c:v>28.647889756541161</c:v>
                </c:pt>
                <c:pt idx="17">
                  <c:v>28.647889756541161</c:v>
                </c:pt>
                <c:pt idx="18">
                  <c:v>28.647889756541161</c:v>
                </c:pt>
                <c:pt idx="19">
                  <c:v>28.647889756541161</c:v>
                </c:pt>
                <c:pt idx="20">
                  <c:v>28.647889756541161</c:v>
                </c:pt>
                <c:pt idx="21">
                  <c:v>28.647889756541161</c:v>
                </c:pt>
                <c:pt idx="22">
                  <c:v>28.647889756541161</c:v>
                </c:pt>
                <c:pt idx="23">
                  <c:v>28.647889756541161</c:v>
                </c:pt>
                <c:pt idx="24">
                  <c:v>28.647889756541161</c:v>
                </c:pt>
                <c:pt idx="25">
                  <c:v>28.647889756541161</c:v>
                </c:pt>
                <c:pt idx="26">
                  <c:v>28.647889756541161</c:v>
                </c:pt>
                <c:pt idx="27">
                  <c:v>28.647889756541161</c:v>
                </c:pt>
                <c:pt idx="28">
                  <c:v>28.647889756541161</c:v>
                </c:pt>
                <c:pt idx="29">
                  <c:v>28.647889756541161</c:v>
                </c:pt>
                <c:pt idx="30">
                  <c:v>28.647889756541161</c:v>
                </c:pt>
                <c:pt idx="31">
                  <c:v>28.647889756541161</c:v>
                </c:pt>
                <c:pt idx="32">
                  <c:v>28.647889756541161</c:v>
                </c:pt>
                <c:pt idx="33">
                  <c:v>28.647889756541161</c:v>
                </c:pt>
                <c:pt idx="34">
                  <c:v>28.647889756541161</c:v>
                </c:pt>
                <c:pt idx="35">
                  <c:v>28.647889756541161</c:v>
                </c:pt>
                <c:pt idx="36">
                  <c:v>28.647889756541161</c:v>
                </c:pt>
                <c:pt idx="37">
                  <c:v>28.647889756541161</c:v>
                </c:pt>
                <c:pt idx="38">
                  <c:v>28.647889756541161</c:v>
                </c:pt>
                <c:pt idx="39">
                  <c:v>28.647889756541161</c:v>
                </c:pt>
                <c:pt idx="40">
                  <c:v>28.647889756541161</c:v>
                </c:pt>
                <c:pt idx="41">
                  <c:v>28.647889756541161</c:v>
                </c:pt>
                <c:pt idx="42">
                  <c:v>28.647889756541161</c:v>
                </c:pt>
                <c:pt idx="43">
                  <c:v>28.647889756541161</c:v>
                </c:pt>
                <c:pt idx="44">
                  <c:v>28.647889756541161</c:v>
                </c:pt>
                <c:pt idx="45">
                  <c:v>28.647889756541161</c:v>
                </c:pt>
                <c:pt idx="46">
                  <c:v>28.647889756541161</c:v>
                </c:pt>
                <c:pt idx="47">
                  <c:v>28.647889756541161</c:v>
                </c:pt>
                <c:pt idx="48">
                  <c:v>28.647889756541161</c:v>
                </c:pt>
                <c:pt idx="49">
                  <c:v>28.647889756541161</c:v>
                </c:pt>
                <c:pt idx="50">
                  <c:v>28.647889756541161</c:v>
                </c:pt>
                <c:pt idx="51">
                  <c:v>28.647889756541161</c:v>
                </c:pt>
                <c:pt idx="52">
                  <c:v>28.647889756541161</c:v>
                </c:pt>
                <c:pt idx="53">
                  <c:v>28.647889756541161</c:v>
                </c:pt>
                <c:pt idx="54">
                  <c:v>28.647889756541161</c:v>
                </c:pt>
                <c:pt idx="55">
                  <c:v>28.647889756541161</c:v>
                </c:pt>
                <c:pt idx="56">
                  <c:v>28.647889756541161</c:v>
                </c:pt>
                <c:pt idx="57">
                  <c:v>28.647889756541161</c:v>
                </c:pt>
                <c:pt idx="58">
                  <c:v>28.647889756541161</c:v>
                </c:pt>
                <c:pt idx="59">
                  <c:v>28.647889756541161</c:v>
                </c:pt>
                <c:pt idx="60">
                  <c:v>28.647889756541161</c:v>
                </c:pt>
                <c:pt idx="61">
                  <c:v>28.647889756541161</c:v>
                </c:pt>
                <c:pt idx="62">
                  <c:v>28.647889756541161</c:v>
                </c:pt>
                <c:pt idx="63">
                  <c:v>28.647889756541161</c:v>
                </c:pt>
                <c:pt idx="64">
                  <c:v>28.647889756541161</c:v>
                </c:pt>
                <c:pt idx="65">
                  <c:v>28.647889756541161</c:v>
                </c:pt>
                <c:pt idx="66">
                  <c:v>28.647889756541161</c:v>
                </c:pt>
                <c:pt idx="67">
                  <c:v>28.647889756541161</c:v>
                </c:pt>
                <c:pt idx="68">
                  <c:v>28.647889756541161</c:v>
                </c:pt>
                <c:pt idx="69">
                  <c:v>28.647889756541161</c:v>
                </c:pt>
                <c:pt idx="70">
                  <c:v>28.647889756541161</c:v>
                </c:pt>
                <c:pt idx="71">
                  <c:v>28.647889756541161</c:v>
                </c:pt>
                <c:pt idx="72">
                  <c:v>28.647889756541161</c:v>
                </c:pt>
                <c:pt idx="73">
                  <c:v>28.647889756541161</c:v>
                </c:pt>
                <c:pt idx="74">
                  <c:v>28.647889756541161</c:v>
                </c:pt>
                <c:pt idx="75">
                  <c:v>28.647889756541161</c:v>
                </c:pt>
                <c:pt idx="76">
                  <c:v>28.647889756541161</c:v>
                </c:pt>
                <c:pt idx="77">
                  <c:v>28.647889756541161</c:v>
                </c:pt>
                <c:pt idx="78">
                  <c:v>28.647889756541161</c:v>
                </c:pt>
                <c:pt idx="79">
                  <c:v>28.647889756541161</c:v>
                </c:pt>
                <c:pt idx="80">
                  <c:v>28.647889756541161</c:v>
                </c:pt>
                <c:pt idx="81">
                  <c:v>28.647889756541161</c:v>
                </c:pt>
                <c:pt idx="82">
                  <c:v>28.647889756541161</c:v>
                </c:pt>
                <c:pt idx="83">
                  <c:v>28.647889756541161</c:v>
                </c:pt>
                <c:pt idx="84">
                  <c:v>28.647889756541161</c:v>
                </c:pt>
                <c:pt idx="85">
                  <c:v>28.647889756541161</c:v>
                </c:pt>
                <c:pt idx="86">
                  <c:v>28.647889756541161</c:v>
                </c:pt>
                <c:pt idx="87">
                  <c:v>28.647889756541161</c:v>
                </c:pt>
                <c:pt idx="88">
                  <c:v>28.647889756541161</c:v>
                </c:pt>
                <c:pt idx="89">
                  <c:v>28.647889756541161</c:v>
                </c:pt>
                <c:pt idx="90">
                  <c:v>28.647889756541161</c:v>
                </c:pt>
                <c:pt idx="91">
                  <c:v>28.647889756541161</c:v>
                </c:pt>
                <c:pt idx="92">
                  <c:v>28.647889756541161</c:v>
                </c:pt>
                <c:pt idx="93">
                  <c:v>28.647889756541161</c:v>
                </c:pt>
                <c:pt idx="94">
                  <c:v>28.647889756541161</c:v>
                </c:pt>
                <c:pt idx="95">
                  <c:v>28.647889756541161</c:v>
                </c:pt>
                <c:pt idx="96">
                  <c:v>28.647889756541161</c:v>
                </c:pt>
                <c:pt idx="97">
                  <c:v>28.647889756541161</c:v>
                </c:pt>
                <c:pt idx="98">
                  <c:v>28.647889756541161</c:v>
                </c:pt>
                <c:pt idx="99">
                  <c:v>28.647889756541161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30.133124239795386</c:v>
                </c:pt>
                <c:pt idx="1">
                  <c:v>30.133124239795386</c:v>
                </c:pt>
                <c:pt idx="2">
                  <c:v>30.133124239795386</c:v>
                </c:pt>
                <c:pt idx="3">
                  <c:v>30.133124239795386</c:v>
                </c:pt>
                <c:pt idx="4">
                  <c:v>30.133124239795386</c:v>
                </c:pt>
                <c:pt idx="5">
                  <c:v>30.133124239795386</c:v>
                </c:pt>
                <c:pt idx="6">
                  <c:v>30.133124239795386</c:v>
                </c:pt>
                <c:pt idx="7">
                  <c:v>30.133124239795386</c:v>
                </c:pt>
                <c:pt idx="8">
                  <c:v>30.133124239795386</c:v>
                </c:pt>
                <c:pt idx="9">
                  <c:v>30.133124239795386</c:v>
                </c:pt>
                <c:pt idx="10">
                  <c:v>30.133124239795386</c:v>
                </c:pt>
                <c:pt idx="11">
                  <c:v>30.133124239795386</c:v>
                </c:pt>
                <c:pt idx="12">
                  <c:v>30.133124239795386</c:v>
                </c:pt>
                <c:pt idx="13">
                  <c:v>30.133124239795386</c:v>
                </c:pt>
                <c:pt idx="14">
                  <c:v>30.133124239795386</c:v>
                </c:pt>
                <c:pt idx="15">
                  <c:v>30.133124239795386</c:v>
                </c:pt>
                <c:pt idx="16">
                  <c:v>30.133124239795386</c:v>
                </c:pt>
                <c:pt idx="17">
                  <c:v>30.133124239795386</c:v>
                </c:pt>
                <c:pt idx="18">
                  <c:v>30.133124239795386</c:v>
                </c:pt>
                <c:pt idx="19">
                  <c:v>30.133124239795386</c:v>
                </c:pt>
                <c:pt idx="20">
                  <c:v>30.133124239795386</c:v>
                </c:pt>
                <c:pt idx="21">
                  <c:v>30.133124239795386</c:v>
                </c:pt>
                <c:pt idx="22">
                  <c:v>30.133124239795386</c:v>
                </c:pt>
                <c:pt idx="23">
                  <c:v>30.133124239795386</c:v>
                </c:pt>
                <c:pt idx="24">
                  <c:v>30.133124239795386</c:v>
                </c:pt>
                <c:pt idx="25">
                  <c:v>30.133124239795386</c:v>
                </c:pt>
                <c:pt idx="26">
                  <c:v>30.133124239795386</c:v>
                </c:pt>
                <c:pt idx="27">
                  <c:v>30.133124239795386</c:v>
                </c:pt>
                <c:pt idx="28">
                  <c:v>30.133124239795386</c:v>
                </c:pt>
                <c:pt idx="29">
                  <c:v>28.557505903875196</c:v>
                </c:pt>
                <c:pt idx="30">
                  <c:v>26.459688989821849</c:v>
                </c:pt>
                <c:pt idx="31">
                  <c:v>24.485378487457027</c:v>
                </c:pt>
                <c:pt idx="32">
                  <c:v>22.623979348080326</c:v>
                </c:pt>
                <c:pt idx="33">
                  <c:v>20.866074700370085</c:v>
                </c:pt>
                <c:pt idx="34">
                  <c:v>19.203266512250892</c:v>
                </c:pt>
                <c:pt idx="35">
                  <c:v>17.628041430641588</c:v>
                </c:pt>
                <c:pt idx="36">
                  <c:v>16.133657276611775</c:v>
                </c:pt>
                <c:pt idx="37">
                  <c:v>14.714046578626153</c:v>
                </c:pt>
                <c:pt idx="38">
                  <c:v>13.363734232874165</c:v>
                </c:pt>
                <c:pt idx="39">
                  <c:v>12.077766934543046</c:v>
                </c:pt>
                <c:pt idx="40">
                  <c:v>10.851652462539754</c:v>
                </c:pt>
                <c:pt idx="41">
                  <c:v>9.6813072490333845</c:v>
                </c:pt>
                <c:pt idx="42">
                  <c:v>8.5630109442363782</c:v>
                </c:pt>
                <c:pt idx="43">
                  <c:v>7.4933669112597201</c:v>
                </c:pt>
                <c:pt idx="44">
                  <c:v>6.4692677672939922</c:v>
                </c:pt>
                <c:pt idx="45">
                  <c:v>5.4878652347484831</c:v>
                </c:pt>
                <c:pt idx="46">
                  <c:v>4.5465436862752995</c:v>
                </c:pt>
                <c:pt idx="47">
                  <c:v>3.6428968662341816</c:v>
                </c:pt>
                <c:pt idx="48">
                  <c:v>2.7747073523677113</c:v>
                </c:pt>
                <c:pt idx="49">
                  <c:v>1.9399283886065817</c:v>
                </c:pt>
                <c:pt idx="50">
                  <c:v>1.1366677756650905</c:v>
                </c:pt>
                <c:pt idx="51">
                  <c:v>0.36317355253295425</c:v>
                </c:pt>
                <c:pt idx="52">
                  <c:v>-0.38217875918920363</c:v>
                </c:pt>
                <c:pt idx="53">
                  <c:v>-1.1008975435673882</c:v>
                </c:pt>
                <c:pt idx="54">
                  <c:v>-1.7943852792351525</c:v>
                </c:pt>
                <c:pt idx="55">
                  <c:v>-2.4639476737425721</c:v>
                </c:pt>
                <c:pt idx="56">
                  <c:v>-3.1108018685312775</c:v>
                </c:pt>
                <c:pt idx="57">
                  <c:v>-3.7360838230149298</c:v>
                </c:pt>
                <c:pt idx="58">
                  <c:v>-4.3408549720110354</c:v>
                </c:pt>
                <c:pt idx="59">
                  <c:v>-4.9261082386034083</c:v>
                </c:pt>
                <c:pt idx="60">
                  <c:v>-5.4927734740872181</c:v>
                </c:pt>
                <c:pt idx="61">
                  <c:v>-6.0417223876877895</c:v>
                </c:pt>
                <c:pt idx="62">
                  <c:v>-6.5737730210252012</c:v>
                </c:pt>
                <c:pt idx="63">
                  <c:v>-7.0896938156304445</c:v>
                </c:pt>
                <c:pt idx="64">
                  <c:v>-7.5902073160485353</c:v>
                </c:pt>
                <c:pt idx="65">
                  <c:v>-8.0759935460577772</c:v>
                </c:pt>
                <c:pt idx="66">
                  <c:v>-8.5476930911811699</c:v>
                </c:pt>
                <c:pt idx="67">
                  <c:v>-9.0059099168729979</c:v>
                </c:pt>
                <c:pt idx="68">
                  <c:v>-9.4512139484514073</c:v>
                </c:pt>
                <c:pt idx="69">
                  <c:v>-9.8841434359499267</c:v>
                </c:pt>
                <c:pt idx="70">
                  <c:v>-10.305207124520313</c:v>
                </c:pt>
                <c:pt idx="71">
                  <c:v>-10.714886248787771</c:v>
                </c:pt>
                <c:pt idx="72">
                  <c:v>-11.113636367595966</c:v>
                </c:pt>
                <c:pt idx="73">
                  <c:v>-11.50188905384845</c:v>
                </c:pt>
                <c:pt idx="74">
                  <c:v>-11.592476891746337</c:v>
                </c:pt>
                <c:pt idx="75">
                  <c:v>-11.592476891746337</c:v>
                </c:pt>
                <c:pt idx="76">
                  <c:v>-11.592476891746337</c:v>
                </c:pt>
                <c:pt idx="77">
                  <c:v>-11.592476891746337</c:v>
                </c:pt>
                <c:pt idx="78">
                  <c:v>-11.592476891746337</c:v>
                </c:pt>
                <c:pt idx="79">
                  <c:v>-11.592476891746337</c:v>
                </c:pt>
                <c:pt idx="80">
                  <c:v>-11.592476891746337</c:v>
                </c:pt>
                <c:pt idx="81">
                  <c:v>-11.592476891746337</c:v>
                </c:pt>
                <c:pt idx="82">
                  <c:v>-11.592476891746337</c:v>
                </c:pt>
                <c:pt idx="83">
                  <c:v>-11.592476891746337</c:v>
                </c:pt>
                <c:pt idx="84">
                  <c:v>-11.592476891746337</c:v>
                </c:pt>
                <c:pt idx="85">
                  <c:v>-11.592476891746337</c:v>
                </c:pt>
                <c:pt idx="86">
                  <c:v>-11.592476891746337</c:v>
                </c:pt>
                <c:pt idx="87">
                  <c:v>-11.592476891746337</c:v>
                </c:pt>
                <c:pt idx="88">
                  <c:v>-11.592476891746337</c:v>
                </c:pt>
                <c:pt idx="89">
                  <c:v>-11.592476891746337</c:v>
                </c:pt>
                <c:pt idx="90">
                  <c:v>-11.592476891746337</c:v>
                </c:pt>
                <c:pt idx="91">
                  <c:v>-11.592476891746337</c:v>
                </c:pt>
                <c:pt idx="92">
                  <c:v>-11.592476891746337</c:v>
                </c:pt>
                <c:pt idx="93">
                  <c:v>-11.592476891746337</c:v>
                </c:pt>
                <c:pt idx="94">
                  <c:v>-11.592476891746337</c:v>
                </c:pt>
                <c:pt idx="95">
                  <c:v>-11.592476891746337</c:v>
                </c:pt>
                <c:pt idx="96">
                  <c:v>-11.592476891746337</c:v>
                </c:pt>
                <c:pt idx="97">
                  <c:v>-11.592476891746337</c:v>
                </c:pt>
                <c:pt idx="98">
                  <c:v>-11.592476891746337</c:v>
                </c:pt>
                <c:pt idx="99">
                  <c:v>-11.592476891746337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OMC-17HM19-2004S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20.939347719286189</c:v>
                </c:pt>
                <c:pt idx="1">
                  <c:v>20.939347719286189</c:v>
                </c:pt>
                <c:pt idx="2">
                  <c:v>20.939347719286189</c:v>
                </c:pt>
                <c:pt idx="3">
                  <c:v>20.939347719286189</c:v>
                </c:pt>
                <c:pt idx="4">
                  <c:v>20.939347719286189</c:v>
                </c:pt>
                <c:pt idx="5">
                  <c:v>20.939347719286189</c:v>
                </c:pt>
                <c:pt idx="6">
                  <c:v>20.939347719286189</c:v>
                </c:pt>
                <c:pt idx="7">
                  <c:v>20.939347719286189</c:v>
                </c:pt>
                <c:pt idx="8">
                  <c:v>20.939347719286189</c:v>
                </c:pt>
                <c:pt idx="9">
                  <c:v>20.939347719286189</c:v>
                </c:pt>
                <c:pt idx="10">
                  <c:v>20.939347719286189</c:v>
                </c:pt>
                <c:pt idx="11">
                  <c:v>20.939347719286189</c:v>
                </c:pt>
                <c:pt idx="12">
                  <c:v>20.939347719286189</c:v>
                </c:pt>
                <c:pt idx="13">
                  <c:v>20.939347719286189</c:v>
                </c:pt>
                <c:pt idx="14">
                  <c:v>20.939347719286189</c:v>
                </c:pt>
                <c:pt idx="15">
                  <c:v>20.728678131259493</c:v>
                </c:pt>
                <c:pt idx="16">
                  <c:v>18.458894823962936</c:v>
                </c:pt>
                <c:pt idx="17">
                  <c:v>16.439171546295171</c:v>
                </c:pt>
                <c:pt idx="18">
                  <c:v>14.630342394692455</c:v>
                </c:pt>
                <c:pt idx="19">
                  <c:v>13.001014827420416</c:v>
                </c:pt>
                <c:pt idx="20">
                  <c:v>11.525732329822144</c:v>
                </c:pt>
                <c:pt idx="21">
                  <c:v>10.18363468968667</c:v>
                </c:pt>
                <c:pt idx="22">
                  <c:v>8.9574654428665426</c:v>
                </c:pt>
                <c:pt idx="23">
                  <c:v>7.8328258763654794</c:v>
                </c:pt>
                <c:pt idx="24">
                  <c:v>6.7976069752106696</c:v>
                </c:pt>
                <c:pt idx="25">
                  <c:v>5.8415516870904689</c:v>
                </c:pt>
                <c:pt idx="26">
                  <c:v>4.9559139101685474</c:v>
                </c:pt>
                <c:pt idx="27">
                  <c:v>4.1331901554682364</c:v>
                </c:pt>
                <c:pt idx="28">
                  <c:v>3.3669064342965012</c:v>
                </c:pt>
                <c:pt idx="29">
                  <c:v>2.6514475506353659</c:v>
                </c:pt>
                <c:pt idx="30">
                  <c:v>1.9819192704895272</c:v>
                </c:pt>
                <c:pt idx="31">
                  <c:v>1.354036210780535</c:v>
                </c:pt>
                <c:pt idx="32">
                  <c:v>0.7640300174522654</c:v>
                </c:pt>
                <c:pt idx="33">
                  <c:v>0.20857367442090435</c:v>
                </c:pt>
                <c:pt idx="34">
                  <c:v>-0.31528126867505435</c:v>
                </c:pt>
                <c:pt idx="35">
                  <c:v>-0.81015705122009507</c:v>
                </c:pt>
                <c:pt idx="36">
                  <c:v>-1.2783936015773136</c:v>
                </c:pt>
                <c:pt idx="37">
                  <c:v>-1.7220855334330682</c:v>
                </c:pt>
                <c:pt idx="38">
                  <c:v>-2.1431134727696008</c:v>
                </c:pt>
                <c:pt idx="39">
                  <c:v>-2.543170703802879</c:v>
                </c:pt>
                <c:pt idx="40">
                  <c:v>-2.9237859300979281</c:v>
                </c:pt>
                <c:pt idx="41">
                  <c:v>-3.2863427959680482</c:v>
                </c:pt>
                <c:pt idx="42">
                  <c:v>-3.6320966936726551</c:v>
                </c:pt>
                <c:pt idx="43">
                  <c:v>-3.9621892867133583</c:v>
                </c:pt>
                <c:pt idx="44">
                  <c:v>-4.2776611032909075</c:v>
                </c:pt>
                <c:pt idx="45">
                  <c:v>-4.5794624926149314</c:v>
                </c:pt>
                <c:pt idx="46">
                  <c:v>-4.8684631871010202</c:v>
                </c:pt>
                <c:pt idx="47">
                  <c:v>-5.1454606731134556</c:v>
                </c:pt>
                <c:pt idx="48">
                  <c:v>-5.4111875399284184</c:v>
                </c:pt>
                <c:pt idx="49">
                  <c:v>-5.6663179495278193</c:v>
                </c:pt>
                <c:pt idx="50">
                  <c:v>-5.9114733475309951</c:v>
                </c:pt>
                <c:pt idx="51">
                  <c:v>-6.1472275171173543</c:v>
                </c:pt>
                <c:pt idx="52">
                  <c:v>-6.374111062463454</c:v>
                </c:pt>
                <c:pt idx="53">
                  <c:v>-6.5926153954362068</c:v>
                </c:pt>
                <c:pt idx="54">
                  <c:v>-6.8031962885877153</c:v>
                </c:pt>
                <c:pt idx="55">
                  <c:v>-7.0062770485154591</c:v>
                </c:pt>
                <c:pt idx="56">
                  <c:v>-7.2022513560840951</c:v>
                </c:pt>
                <c:pt idx="57">
                  <c:v>-7.3914858136087807</c:v>
                </c:pt>
                <c:pt idx="58">
                  <c:v>-7.5743222336769076</c:v>
                </c:pt>
                <c:pt idx="59">
                  <c:v>-7.7510796996732303</c:v>
                </c:pt>
                <c:pt idx="60">
                  <c:v>-7.9220564241404947</c:v>
                </c:pt>
                <c:pt idx="61">
                  <c:v>-8.087531427744036</c:v>
                </c:pt>
                <c:pt idx="62">
                  <c:v>-8.2477660587246611</c:v>
                </c:pt>
                <c:pt idx="63">
                  <c:v>-8.4030053702445784</c:v>
                </c:pt>
                <c:pt idx="64">
                  <c:v>-8.5534793708940224</c:v>
                </c:pt>
                <c:pt idx="65">
                  <c:v>-8.6994041617799382</c:v>
                </c:pt>
                <c:pt idx="66">
                  <c:v>-8.8409829720192246</c:v>
                </c:pt>
                <c:pt idx="67">
                  <c:v>-8.9784071030712234</c:v>
                </c:pt>
                <c:pt idx="68">
                  <c:v>-9.1118567911371269</c:v>
                </c:pt>
                <c:pt idx="69">
                  <c:v>-9.2415019958015954</c:v>
                </c:pt>
                <c:pt idx="70">
                  <c:v>-9.367503122172737</c:v>
                </c:pt>
                <c:pt idx="71">
                  <c:v>-9.4900116829721579</c:v>
                </c:pt>
                <c:pt idx="72">
                  <c:v>-9.6091709063211201</c:v>
                </c:pt>
                <c:pt idx="73">
                  <c:v>-9.7251162943490161</c:v>
                </c:pt>
                <c:pt idx="74">
                  <c:v>-9.837976137204695</c:v>
                </c:pt>
                <c:pt idx="75">
                  <c:v>-9.9478719865699645</c:v>
                </c:pt>
                <c:pt idx="76">
                  <c:v>-10.054919092349518</c:v>
                </c:pt>
                <c:pt idx="77">
                  <c:v>-10.159226805835505</c:v>
                </c:pt>
                <c:pt idx="78">
                  <c:v>-10.260898952311523</c:v>
                </c:pt>
                <c:pt idx="79">
                  <c:v>-10.360034175764991</c:v>
                </c:pt>
                <c:pt idx="80">
                  <c:v>-10.45672625811368</c:v>
                </c:pt>
                <c:pt idx="81">
                  <c:v>-10.55106441511797</c:v>
                </c:pt>
                <c:pt idx="82">
                  <c:v>-10.643133570941462</c:v>
                </c:pt>
                <c:pt idx="83">
                  <c:v>-10.733014613135964</c:v>
                </c:pt>
                <c:pt idx="84">
                  <c:v>-10.820784629660089</c:v>
                </c:pt>
                <c:pt idx="85">
                  <c:v>-10.906517129391201</c:v>
                </c:pt>
                <c:pt idx="86">
                  <c:v>-10.990282247456499</c:v>
                </c:pt>
                <c:pt idx="87">
                  <c:v>-11.072146936588686</c:v>
                </c:pt>
                <c:pt idx="88">
                  <c:v>-11.152175145603561</c:v>
                </c:pt>
                <c:pt idx="89">
                  <c:v>-11.230427985999363</c:v>
                </c:pt>
                <c:pt idx="90">
                  <c:v>-11.30696388759014</c:v>
                </c:pt>
                <c:pt idx="91">
                  <c:v>-11.381838744006039</c:v>
                </c:pt>
                <c:pt idx="92">
                  <c:v>-11.455106048822</c:v>
                </c:pt>
                <c:pt idx="93">
                  <c:v>-11.52681702301158</c:v>
                </c:pt>
                <c:pt idx="94">
                  <c:v>-11.592476891746337</c:v>
                </c:pt>
                <c:pt idx="95">
                  <c:v>-11.592476891746337</c:v>
                </c:pt>
                <c:pt idx="96">
                  <c:v>-11.592476891746337</c:v>
                </c:pt>
                <c:pt idx="97">
                  <c:v>-11.592476891746337</c:v>
                </c:pt>
                <c:pt idx="98">
                  <c:v>-11.592476891746337</c:v>
                </c:pt>
                <c:pt idx="99">
                  <c:v>-11.592476891746337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LDO-42STH48-2004AC 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29.001795653060057</c:v>
                </c:pt>
                <c:pt idx="1">
                  <c:v>29.001795653060057</c:v>
                </c:pt>
                <c:pt idx="2">
                  <c:v>29.001795653060057</c:v>
                </c:pt>
                <c:pt idx="3">
                  <c:v>29.001795653060057</c:v>
                </c:pt>
                <c:pt idx="4">
                  <c:v>29.001795653060057</c:v>
                </c:pt>
                <c:pt idx="5">
                  <c:v>29.001795653060057</c:v>
                </c:pt>
                <c:pt idx="6">
                  <c:v>29.001795653060057</c:v>
                </c:pt>
                <c:pt idx="7">
                  <c:v>29.001795653060057</c:v>
                </c:pt>
                <c:pt idx="8">
                  <c:v>29.001795653060057</c:v>
                </c:pt>
                <c:pt idx="9">
                  <c:v>29.001795653060057</c:v>
                </c:pt>
                <c:pt idx="10">
                  <c:v>29.001795653060057</c:v>
                </c:pt>
                <c:pt idx="11">
                  <c:v>29.001795653060057</c:v>
                </c:pt>
                <c:pt idx="12">
                  <c:v>29.001795653060057</c:v>
                </c:pt>
                <c:pt idx="13">
                  <c:v>29.001795653060057</c:v>
                </c:pt>
                <c:pt idx="14">
                  <c:v>29.001795653060057</c:v>
                </c:pt>
                <c:pt idx="15">
                  <c:v>29.001795653060057</c:v>
                </c:pt>
                <c:pt idx="16">
                  <c:v>29.001795653060057</c:v>
                </c:pt>
                <c:pt idx="17">
                  <c:v>29.001795653060057</c:v>
                </c:pt>
                <c:pt idx="18">
                  <c:v>29.001795653060057</c:v>
                </c:pt>
                <c:pt idx="19">
                  <c:v>29.001795653060057</c:v>
                </c:pt>
                <c:pt idx="20">
                  <c:v>29.001795653060057</c:v>
                </c:pt>
                <c:pt idx="21">
                  <c:v>29.001795653060057</c:v>
                </c:pt>
                <c:pt idx="22">
                  <c:v>29.001795653060057</c:v>
                </c:pt>
                <c:pt idx="23">
                  <c:v>29.001795653060057</c:v>
                </c:pt>
                <c:pt idx="24">
                  <c:v>29.001795653060057</c:v>
                </c:pt>
                <c:pt idx="25">
                  <c:v>29.001795653060057</c:v>
                </c:pt>
                <c:pt idx="26">
                  <c:v>29.001795653060057</c:v>
                </c:pt>
                <c:pt idx="27">
                  <c:v>29.001795653060057</c:v>
                </c:pt>
                <c:pt idx="28">
                  <c:v>29.001795653060057</c:v>
                </c:pt>
                <c:pt idx="29">
                  <c:v>27.368581919942315</c:v>
                </c:pt>
                <c:pt idx="30">
                  <c:v>25.349532455425965</c:v>
                </c:pt>
                <c:pt idx="31">
                  <c:v>23.447885267741434</c:v>
                </c:pt>
                <c:pt idx="32">
                  <c:v>21.65368971994571</c:v>
                </c:pt>
                <c:pt idx="33">
                  <c:v>19.958088789718939</c:v>
                </c:pt>
                <c:pt idx="34">
                  <c:v>18.353172846238142</c:v>
                </c:pt>
                <c:pt idx="35">
                  <c:v>16.831856277148283</c:v>
                </c:pt>
                <c:pt idx="36">
                  <c:v>15.387772905495353</c:v>
                </c:pt>
                <c:pt idx="37">
                  <c:v>14.015186940564618</c:v>
                </c:pt>
                <c:pt idx="38">
                  <c:v>12.708916835826951</c:v>
                </c:pt>
                <c:pt idx="39">
                  <c:v>11.464269922871654</c:v>
                </c:pt>
                <c:pt idx="40">
                  <c:v>10.276986083079578</c:v>
                </c:pt>
                <c:pt idx="41">
                  <c:v>9.1431890320200324</c:v>
                </c:pt>
                <c:pt idx="42">
                  <c:v>8.059344042684728</c:v>
                </c:pt>
                <c:pt idx="43">
                  <c:v>7.0222211360862836</c:v>
                </c:pt>
                <c:pt idx="44">
                  <c:v>6.0288629317263087</c:v>
                </c:pt>
                <c:pt idx="45">
                  <c:v>5.0765564839210136</c:v>
                </c:pt>
                <c:pt idx="46">
                  <c:v>4.1628085391341934</c:v>
                </c:pt>
                <c:pt idx="47">
                  <c:v>3.2853237391343431</c:v>
                </c:pt>
                <c:pt idx="48">
                  <c:v>2.4419853687577504</c:v>
                </c:pt>
                <c:pt idx="49">
                  <c:v>1.6308383083195412</c:v>
                </c:pt>
                <c:pt idx="50">
                  <c:v>0.85007390164893337</c:v>
                </c:pt>
                <c:pt idx="51">
                  <c:v>9.8016493232162105E-2</c:v>
                </c:pt>
                <c:pt idx="52">
                  <c:v>-0.62688857645245477</c:v>
                </c:pt>
                <c:pt idx="53">
                  <c:v>-1.326085698403471</c:v>
                </c:pt>
                <c:pt idx="54">
                  <c:v>-2.0009186011372382</c:v>
                </c:pt>
                <c:pt idx="55">
                  <c:v>-2.652638969729157</c:v>
                </c:pt>
                <c:pt idx="56">
                  <c:v>-3.2824141941774148</c:v>
                </c:pt>
                <c:pt idx="57">
                  <c:v>-3.8913343480030846</c:v>
                </c:pt>
                <c:pt idx="58">
                  <c:v>-4.4804184848513966</c:v>
                </c:pt>
                <c:pt idx="59">
                  <c:v>-5.0506203296058869</c:v>
                </c:pt>
                <c:pt idx="60">
                  <c:v>-5.6028334308723791</c:v>
                </c:pt>
                <c:pt idx="61">
                  <c:v>-6.1378958333835287</c:v>
                </c:pt>
                <c:pt idx="62">
                  <c:v>-6.6565943217123582</c:v>
                </c:pt>
                <c:pt idx="63">
                  <c:v>-7.1596682804911289</c:v>
                </c:pt>
                <c:pt idx="64">
                  <c:v>-7.6478132109671133</c:v>
                </c:pt>
                <c:pt idx="65">
                  <c:v>-8.1216839390678928</c:v>
                </c:pt>
                <c:pt idx="66">
                  <c:v>-8.5818975460938773</c:v>
                </c:pt>
                <c:pt idx="67">
                  <c:v>-9.0290360496196609</c:v>
                </c:pt>
                <c:pt idx="68">
                  <c:v>-9.4636488590949774</c:v>
                </c:pt>
                <c:pt idx="69">
                  <c:v>-9.8862550279299803</c:v>
                </c:pt>
                <c:pt idx="70">
                  <c:v>-10.297345321474772</c:v>
                </c:pt>
                <c:pt idx="71">
                  <c:v>-10.697384118216105</c:v>
                </c:pt>
                <c:pt idx="72">
                  <c:v>-11.086811159676037</c:v>
                </c:pt>
                <c:pt idx="73">
                  <c:v>-11.466043162875659</c:v>
                </c:pt>
                <c:pt idx="74">
                  <c:v>-11.835475307794299</c:v>
                </c:pt>
                <c:pt idx="75">
                  <c:v>-12.016591899980959</c:v>
                </c:pt>
                <c:pt idx="76">
                  <c:v>-12.016591899980959</c:v>
                </c:pt>
                <c:pt idx="77">
                  <c:v>-12.016591899980959</c:v>
                </c:pt>
                <c:pt idx="78">
                  <c:v>-12.016591899980959</c:v>
                </c:pt>
                <c:pt idx="79">
                  <c:v>-12.016591899980959</c:v>
                </c:pt>
                <c:pt idx="80">
                  <c:v>-12.016591899980959</c:v>
                </c:pt>
                <c:pt idx="81">
                  <c:v>-12.016591899980959</c:v>
                </c:pt>
                <c:pt idx="82">
                  <c:v>-12.016591899980959</c:v>
                </c:pt>
                <c:pt idx="83">
                  <c:v>-12.016591899980959</c:v>
                </c:pt>
                <c:pt idx="84">
                  <c:v>-12.016591899980959</c:v>
                </c:pt>
                <c:pt idx="85">
                  <c:v>-12.016591899980959</c:v>
                </c:pt>
                <c:pt idx="86">
                  <c:v>-12.016591899980959</c:v>
                </c:pt>
                <c:pt idx="87">
                  <c:v>-12.016591899980959</c:v>
                </c:pt>
                <c:pt idx="88">
                  <c:v>-12.016591899980959</c:v>
                </c:pt>
                <c:pt idx="89">
                  <c:v>-12.016591899980959</c:v>
                </c:pt>
                <c:pt idx="90">
                  <c:v>-12.016591899980959</c:v>
                </c:pt>
                <c:pt idx="91">
                  <c:v>-12.016591899980959</c:v>
                </c:pt>
                <c:pt idx="92">
                  <c:v>-12.016591899980959</c:v>
                </c:pt>
                <c:pt idx="93">
                  <c:v>-12.016591899980959</c:v>
                </c:pt>
                <c:pt idx="94">
                  <c:v>-12.016591899980959</c:v>
                </c:pt>
                <c:pt idx="95">
                  <c:v>-12.016591899980959</c:v>
                </c:pt>
                <c:pt idx="96">
                  <c:v>-12.016591899980959</c:v>
                </c:pt>
                <c:pt idx="97">
                  <c:v>-12.016591899980959</c:v>
                </c:pt>
                <c:pt idx="98">
                  <c:v>-12.016591899980959</c:v>
                </c:pt>
                <c:pt idx="99">
                  <c:v>-12.016591899980959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14.715086719305365</c:v>
                </c:pt>
                <c:pt idx="1">
                  <c:v>14.715086719305365</c:v>
                </c:pt>
                <c:pt idx="2">
                  <c:v>14.715086719305365</c:v>
                </c:pt>
                <c:pt idx="3">
                  <c:v>14.715086719305365</c:v>
                </c:pt>
                <c:pt idx="4">
                  <c:v>14.715086719305365</c:v>
                </c:pt>
                <c:pt idx="5">
                  <c:v>14.715086719305365</c:v>
                </c:pt>
                <c:pt idx="6">
                  <c:v>14.715086719305365</c:v>
                </c:pt>
                <c:pt idx="7">
                  <c:v>14.715086719305365</c:v>
                </c:pt>
                <c:pt idx="8">
                  <c:v>14.715086719305365</c:v>
                </c:pt>
                <c:pt idx="9">
                  <c:v>14.715086719305365</c:v>
                </c:pt>
                <c:pt idx="10">
                  <c:v>14.715086719305365</c:v>
                </c:pt>
                <c:pt idx="11">
                  <c:v>14.715086719305365</c:v>
                </c:pt>
                <c:pt idx="12">
                  <c:v>14.715086719305365</c:v>
                </c:pt>
                <c:pt idx="13">
                  <c:v>14.715086719305365</c:v>
                </c:pt>
                <c:pt idx="14">
                  <c:v>14.715086719305365</c:v>
                </c:pt>
                <c:pt idx="15">
                  <c:v>14.715086719305365</c:v>
                </c:pt>
                <c:pt idx="16">
                  <c:v>14.715086719305365</c:v>
                </c:pt>
                <c:pt idx="17">
                  <c:v>14.715086719305365</c:v>
                </c:pt>
                <c:pt idx="18">
                  <c:v>14.715086719305365</c:v>
                </c:pt>
                <c:pt idx="19">
                  <c:v>14.715086719305365</c:v>
                </c:pt>
                <c:pt idx="20">
                  <c:v>14.715086719305365</c:v>
                </c:pt>
                <c:pt idx="21">
                  <c:v>14.715086719305365</c:v>
                </c:pt>
                <c:pt idx="22">
                  <c:v>13.833467529910273</c:v>
                </c:pt>
                <c:pt idx="23">
                  <c:v>12.623545684359634</c:v>
                </c:pt>
                <c:pt idx="24">
                  <c:v>11.509457182988356</c:v>
                </c:pt>
                <c:pt idx="25">
                  <c:v>10.480249868908498</c:v>
                </c:pt>
                <c:pt idx="26">
                  <c:v>9.526579209431187</c:v>
                </c:pt>
                <c:pt idx="27">
                  <c:v>8.6404237662490573</c:v>
                </c:pt>
                <c:pt idx="28">
                  <c:v>7.8148590296318687</c:v>
                </c:pt>
                <c:pt idx="29">
                  <c:v>7.0438761111545176</c:v>
                </c:pt>
                <c:pt idx="30">
                  <c:v>6.3222352468196803</c:v>
                </c:pt>
                <c:pt idx="31">
                  <c:v>5.6453465549571504</c:v>
                </c:pt>
                <c:pt idx="32">
                  <c:v>5.0091723111452264</c:v>
                </c:pt>
                <c:pt idx="33">
                  <c:v>4.4101463425839746</c:v>
                </c:pt>
                <c:pt idx="34">
                  <c:v>3.8451071423650358</c:v>
                </c:pt>
                <c:pt idx="35">
                  <c:v>3.311242054318047</c:v>
                </c:pt>
                <c:pt idx="36">
                  <c:v>2.8060404480870105</c:v>
                </c:pt>
                <c:pt idx="37">
                  <c:v>2.3272542391890827</c:v>
                </c:pt>
                <c:pt idx="38">
                  <c:v>1.8728644441405375</c:v>
                </c:pt>
                <c:pt idx="39">
                  <c:v>1.4410527210871358</c:v>
                </c:pt>
                <c:pt idx="40">
                  <c:v>1.03017704992501</c:v>
                </c:pt>
                <c:pt idx="41">
                  <c:v>0.63875086608800125</c:v>
                </c:pt>
                <c:pt idx="42">
                  <c:v>0.2654250890335863</c:v>
                </c:pt>
                <c:pt idx="43">
                  <c:v>-9.1027412485450654E-2</c:v>
                </c:pt>
                <c:pt idx="44">
                  <c:v>-0.43172529532049531</c:v>
                </c:pt>
                <c:pt idx="45">
                  <c:v>-0.75769046875186064</c:v>
                </c:pt>
                <c:pt idx="46">
                  <c:v>-1.0698583322100319</c:v>
                </c:pt>
                <c:pt idx="47">
                  <c:v>-1.3690867399265656</c:v>
                </c:pt>
                <c:pt idx="48">
                  <c:v>-1.6561638734568422</c:v>
                </c:pt>
                <c:pt idx="49">
                  <c:v>-1.9318151742101399</c:v>
                </c:pt>
                <c:pt idx="50">
                  <c:v>-2.196709464375</c:v>
                </c:pt>
                <c:pt idx="51">
                  <c:v>-2.4514643649704961</c:v>
                </c:pt>
                <c:pt idx="52">
                  <c:v>-2.6966511034190059</c:v>
                </c:pt>
                <c:pt idx="53">
                  <c:v>-2.9327987894111995</c:v>
                </c:pt>
                <c:pt idx="54">
                  <c:v>-3.1603982264282005</c:v>
                </c:pt>
                <c:pt idx="55">
                  <c:v>-3.3799053167053081</c:v>
                </c:pt>
                <c:pt idx="56">
                  <c:v>-3.5917441093469913</c:v>
                </c:pt>
                <c:pt idx="57">
                  <c:v>-3.7963095344758484</c:v>
                </c:pt>
                <c:pt idx="58">
                  <c:v>-3.9939698605082805</c:v>
                </c:pt>
                <c:pt idx="59">
                  <c:v>-4.1850689067243634</c:v>
                </c:pt>
                <c:pt idx="60">
                  <c:v>-4.3699280390981299</c:v>
                </c:pt>
                <c:pt idx="61">
                  <c:v>-4.5488479737603216</c:v>
                </c:pt>
                <c:pt idx="62">
                  <c:v>-4.7221104093831219</c:v>
                </c:pt>
                <c:pt idx="63">
                  <c:v>-4.8899795071255907</c:v>
                </c:pt>
                <c:pt idx="64">
                  <c:v>-5.0527032344932783</c:v>
                </c:pt>
                <c:pt idx="65">
                  <c:v>-5.2105145874907883</c:v>
                </c:pt>
                <c:pt idx="66">
                  <c:v>-5.3636327037355951</c:v>
                </c:pt>
                <c:pt idx="67">
                  <c:v>-5.5122638777164559</c:v>
                </c:pt>
                <c:pt idx="68">
                  <c:v>-5.6566024880879011</c:v>
                </c:pt>
                <c:pt idx="69">
                  <c:v>-5.7968318457657926</c:v>
                </c:pt>
                <c:pt idx="70">
                  <c:v>-5.9331249706048528</c:v>
                </c:pt>
                <c:pt idx="71">
                  <c:v>-6.0656453035775026</c:v>
                </c:pt>
                <c:pt idx="72">
                  <c:v>-6.1945473606176611</c:v>
                </c:pt>
                <c:pt idx="73">
                  <c:v>-6.3199773336290717</c:v>
                </c:pt>
                <c:pt idx="74">
                  <c:v>-6.4420736435730426</c:v>
                </c:pt>
                <c:pt idx="75">
                  <c:v>-6.5609674500348198</c:v>
                </c:pt>
                <c:pt idx="76">
                  <c:v>-6.6767831212122939</c:v>
                </c:pt>
                <c:pt idx="77">
                  <c:v>-6.7896386678674689</c:v>
                </c:pt>
                <c:pt idx="78">
                  <c:v>-6.8996461444237696</c:v>
                </c:pt>
                <c:pt idx="79">
                  <c:v>-7.0069120200749992</c:v>
                </c:pt>
                <c:pt idx="80">
                  <c:v>-7.1115375224894866</c:v>
                </c:pt>
                <c:pt idx="81">
                  <c:v>-7.2136189564417625</c:v>
                </c:pt>
                <c:pt idx="82">
                  <c:v>-7.3132479994799349</c:v>
                </c:pt>
                <c:pt idx="83">
                  <c:v>-7.4105119765367826</c:v>
                </c:pt>
                <c:pt idx="84">
                  <c:v>-7.5054941152134838</c:v>
                </c:pt>
                <c:pt idx="85">
                  <c:v>-7.5982737833046059</c:v>
                </c:pt>
                <c:pt idx="86">
                  <c:v>-7.6889267099890866</c:v>
                </c:pt>
                <c:pt idx="87">
                  <c:v>-7.7775251919828419</c:v>
                </c:pt>
                <c:pt idx="88">
                  <c:v>-7.8641382858324356</c:v>
                </c:pt>
                <c:pt idx="89">
                  <c:v>-7.948831987424791</c:v>
                </c:pt>
                <c:pt idx="90">
                  <c:v>-8.0316693996935555</c:v>
                </c:pt>
                <c:pt idx="91">
                  <c:v>-8.1127108894178352</c:v>
                </c:pt>
                <c:pt idx="92">
                  <c:v>-8.1920142339320385</c:v>
                </c:pt>
                <c:pt idx="93">
                  <c:v>-8.2696347584961512</c:v>
                </c:pt>
                <c:pt idx="94">
                  <c:v>-8.3456254650128443</c:v>
                </c:pt>
                <c:pt idx="95">
                  <c:v>-8.4200371527206652</c:v>
                </c:pt>
                <c:pt idx="96">
                  <c:v>-8.4929185314409334</c:v>
                </c:pt>
                <c:pt idx="97">
                  <c:v>-8.5643163279088093</c:v>
                </c:pt>
                <c:pt idx="98">
                  <c:v>-8.6342753856763483</c:v>
                </c:pt>
                <c:pt idx="99">
                  <c:v>-8.7028387590363359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LDO-42STH48-1684MAH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17.968056041542809</c:v>
                </c:pt>
                <c:pt idx="1">
                  <c:v>17.968056041542809</c:v>
                </c:pt>
                <c:pt idx="2">
                  <c:v>17.968056041542809</c:v>
                </c:pt>
                <c:pt idx="3">
                  <c:v>17.968056041542809</c:v>
                </c:pt>
                <c:pt idx="4">
                  <c:v>17.968056041542809</c:v>
                </c:pt>
                <c:pt idx="5">
                  <c:v>17.968056041542809</c:v>
                </c:pt>
                <c:pt idx="6">
                  <c:v>17.968056041542809</c:v>
                </c:pt>
                <c:pt idx="7">
                  <c:v>17.968056041542809</c:v>
                </c:pt>
                <c:pt idx="8">
                  <c:v>17.968056041542809</c:v>
                </c:pt>
                <c:pt idx="9">
                  <c:v>17.968056041542809</c:v>
                </c:pt>
                <c:pt idx="10">
                  <c:v>17.968056041542809</c:v>
                </c:pt>
                <c:pt idx="11">
                  <c:v>17.968056041542809</c:v>
                </c:pt>
                <c:pt idx="12">
                  <c:v>17.968056041542809</c:v>
                </c:pt>
                <c:pt idx="13">
                  <c:v>17.968056041542809</c:v>
                </c:pt>
                <c:pt idx="14">
                  <c:v>17.968056041542809</c:v>
                </c:pt>
                <c:pt idx="15">
                  <c:v>17.968056041542809</c:v>
                </c:pt>
                <c:pt idx="16">
                  <c:v>17.968056041542809</c:v>
                </c:pt>
                <c:pt idx="17">
                  <c:v>17.968056041542809</c:v>
                </c:pt>
                <c:pt idx="18">
                  <c:v>17.968056041542809</c:v>
                </c:pt>
                <c:pt idx="19">
                  <c:v>17.968056041542809</c:v>
                </c:pt>
                <c:pt idx="20">
                  <c:v>17.968056041542809</c:v>
                </c:pt>
                <c:pt idx="21">
                  <c:v>17.968056041542809</c:v>
                </c:pt>
                <c:pt idx="22">
                  <c:v>17.968056041542809</c:v>
                </c:pt>
                <c:pt idx="23">
                  <c:v>17.5007188591321</c:v>
                </c:pt>
                <c:pt idx="24">
                  <c:v>16.080853416383363</c:v>
                </c:pt>
                <c:pt idx="25">
                  <c:v>14.766649194061484</c:v>
                </c:pt>
                <c:pt idx="26">
                  <c:v>13.546734911433115</c:v>
                </c:pt>
                <c:pt idx="27">
                  <c:v>12.411314485929696</c:v>
                </c:pt>
                <c:pt idx="28">
                  <c:v>11.351903408803208</c:v>
                </c:pt>
                <c:pt idx="29">
                  <c:v>10.361116350079625</c:v>
                </c:pt>
                <c:pt idx="30">
                  <c:v>9.4324947427405181</c:v>
                </c:pt>
                <c:pt idx="31">
                  <c:v>8.5603658336551494</c:v>
                </c:pt>
                <c:pt idx="32">
                  <c:v>7.7397266990641551</c:v>
                </c:pt>
                <c:pt idx="33">
                  <c:v>6.9661482139251607</c:v>
                </c:pt>
                <c:pt idx="34">
                  <c:v>6.2356950817718015</c:v>
                </c:pt>
                <c:pt idx="35">
                  <c:v>5.5448588763776225</c:v>
                </c:pt>
                <c:pt idx="36">
                  <c:v>4.8905016904543057</c:v>
                </c:pt>
                <c:pt idx="37">
                  <c:v>4.2698084814757387</c:v>
                </c:pt>
                <c:pt idx="38">
                  <c:v>3.6802465878906663</c:v>
                </c:pt>
                <c:pt idx="39">
                  <c:v>3.1195311877919387</c:v>
                </c:pt>
                <c:pt idx="40">
                  <c:v>2.585595706695619</c:v>
                </c:pt>
                <c:pt idx="41">
                  <c:v>2.0765663664272314</c:v>
                </c:pt>
                <c:pt idx="42">
                  <c:v>1.5907402144380143</c:v>
                </c:pt>
                <c:pt idx="43">
                  <c:v>1.1265660906525525</c:v>
                </c:pt>
                <c:pt idx="44">
                  <c:v>0.68262808362212013</c:v>
                </c:pt>
                <c:pt idx="45">
                  <c:v>0.25763110425377711</c:v>
                </c:pt>
                <c:pt idx="46">
                  <c:v>-0.14961173249892923</c:v>
                </c:pt>
                <c:pt idx="47">
                  <c:v>-0.54019017692017535</c:v>
                </c:pt>
                <c:pt idx="48">
                  <c:v>-0.91510658219452168</c:v>
                </c:pt>
                <c:pt idx="49">
                  <c:v>-1.2752844936656604</c:v>
                </c:pt>
                <c:pt idx="50">
                  <c:v>-1.6215762446543085</c:v>
                </c:pt>
                <c:pt idx="51">
                  <c:v>-1.9547696903524843</c:v>
                </c:pt>
                <c:pt idx="52">
                  <c:v>-2.2755941917825959</c:v>
                </c:pt>
                <c:pt idx="53">
                  <c:v>-2.5847259454836724</c:v>
                </c:pt>
                <c:pt idx="54">
                  <c:v>-2.8827927408905607</c:v>
                </c:pt>
                <c:pt idx="55">
                  <c:v>-3.1703782158429181</c:v>
                </c:pt>
                <c:pt idx="56">
                  <c:v>-3.4480256709245145</c:v>
                </c:pt>
                <c:pt idx="57">
                  <c:v>-3.7162414950853702</c:v>
                </c:pt>
                <c:pt idx="58">
                  <c:v>-3.9754982479912027</c:v>
                </c:pt>
                <c:pt idx="59">
                  <c:v>-4.2262374385724248</c:v>
                </c:pt>
                <c:pt idx="60">
                  <c:v>-4.4688720341416301</c:v>
                </c:pt>
                <c:pt idx="61">
                  <c:v>-4.7037887300755035</c:v>
                </c:pt>
                <c:pt idx="62">
                  <c:v>-4.9313500063003772</c:v>
                </c:pt>
                <c:pt idx="63">
                  <c:v>-5.1518959935849242</c:v>
                </c:pt>
                <c:pt idx="64">
                  <c:v>-5.3657461698500777</c:v>
                </c:pt>
                <c:pt idx="65">
                  <c:v>-5.5732009042884512</c:v>
                </c:pt>
                <c:pt idx="66">
                  <c:v>-5.7745428649886943</c:v>
                </c:pt>
                <c:pt idx="67">
                  <c:v>-5.9700383039369793</c:v>
                </c:pt>
                <c:pt idx="68">
                  <c:v>-6.1599382316797833</c:v>
                </c:pt>
                <c:pt idx="69">
                  <c:v>-6.3444794925454389</c:v>
                </c:pt>
                <c:pt idx="70">
                  <c:v>-6.5238857501090681</c:v>
                </c:pt>
                <c:pt idx="71">
                  <c:v>-6.6983683915223811</c:v>
                </c:pt>
                <c:pt idx="72">
                  <c:v>-6.8681273583961548</c:v>
                </c:pt>
                <c:pt idx="73">
                  <c:v>-7.0333519111018905</c:v>
                </c:pt>
                <c:pt idx="74">
                  <c:v>-7.1942213326350828</c:v>
                </c:pt>
                <c:pt idx="75">
                  <c:v>-7.350905577543414</c:v>
                </c:pt>
                <c:pt idx="76">
                  <c:v>-7.5035658708577788</c:v>
                </c:pt>
                <c:pt idx="77">
                  <c:v>-7.6523552614632608</c:v>
                </c:pt>
                <c:pt idx="78">
                  <c:v>-7.7974191339027552</c:v>
                </c:pt>
                <c:pt idx="79">
                  <c:v>-7.9388956822110019</c:v>
                </c:pt>
                <c:pt idx="80">
                  <c:v>-8.0769163490252414</c:v>
                </c:pt>
                <c:pt idx="81">
                  <c:v>-8.2116062329053658</c:v>
                </c:pt>
                <c:pt idx="82">
                  <c:v>-8.3430844665166966</c:v>
                </c:pt>
                <c:pt idx="83">
                  <c:v>-8.4714645680784457</c:v>
                </c:pt>
                <c:pt idx="84">
                  <c:v>-8.5968547682570602</c:v>
                </c:pt>
                <c:pt idx="85">
                  <c:v>-8.7193583144829603</c:v>
                </c:pt>
                <c:pt idx="86">
                  <c:v>-8.8390737544891049</c:v>
                </c:pt>
                <c:pt idx="87">
                  <c:v>-8.9560952007078676</c:v>
                </c:pt>
                <c:pt idx="88">
                  <c:v>-9.0705125770171158</c:v>
                </c:pt>
                <c:pt idx="89">
                  <c:v>-9.1824118491950646</c:v>
                </c:pt>
                <c:pt idx="90">
                  <c:v>-9.2918752403251688</c:v>
                </c:pt>
                <c:pt idx="91">
                  <c:v>-9.3989814322853356</c:v>
                </c:pt>
                <c:pt idx="92">
                  <c:v>-9.5038057543591048</c:v>
                </c:pt>
                <c:pt idx="93">
                  <c:v>-9.6064203599189604</c:v>
                </c:pt>
                <c:pt idx="94">
                  <c:v>-9.6132735199847676</c:v>
                </c:pt>
                <c:pt idx="95">
                  <c:v>-9.6132735199847676</c:v>
                </c:pt>
                <c:pt idx="96">
                  <c:v>-9.6132735199847676</c:v>
                </c:pt>
                <c:pt idx="97">
                  <c:v>-9.6132735199847676</c:v>
                </c:pt>
                <c:pt idx="98">
                  <c:v>-9.6132735199847676</c:v>
                </c:pt>
                <c:pt idx="99">
                  <c:v>-9.6132735199847676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LDO-42STH47-2504AC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28.505538361203357</c:v>
                </c:pt>
                <c:pt idx="1">
                  <c:v>28.505538361203357</c:v>
                </c:pt>
                <c:pt idx="2">
                  <c:v>28.505538361203357</c:v>
                </c:pt>
                <c:pt idx="3">
                  <c:v>28.505538361203357</c:v>
                </c:pt>
                <c:pt idx="4">
                  <c:v>28.505538361203357</c:v>
                </c:pt>
                <c:pt idx="5">
                  <c:v>28.505538361203357</c:v>
                </c:pt>
                <c:pt idx="6">
                  <c:v>28.505538361203357</c:v>
                </c:pt>
                <c:pt idx="7">
                  <c:v>28.505538361203357</c:v>
                </c:pt>
                <c:pt idx="8">
                  <c:v>28.505538361203357</c:v>
                </c:pt>
                <c:pt idx="9">
                  <c:v>28.505538361203357</c:v>
                </c:pt>
                <c:pt idx="10">
                  <c:v>28.505538361203357</c:v>
                </c:pt>
                <c:pt idx="11">
                  <c:v>28.505538361203357</c:v>
                </c:pt>
                <c:pt idx="12">
                  <c:v>28.505538361203357</c:v>
                </c:pt>
                <c:pt idx="13">
                  <c:v>28.505538361203357</c:v>
                </c:pt>
                <c:pt idx="14">
                  <c:v>28.505538361203357</c:v>
                </c:pt>
                <c:pt idx="15">
                  <c:v>28.505538361203357</c:v>
                </c:pt>
                <c:pt idx="16">
                  <c:v>28.505538361203357</c:v>
                </c:pt>
                <c:pt idx="17">
                  <c:v>28.505538361203357</c:v>
                </c:pt>
                <c:pt idx="18">
                  <c:v>28.505538361203357</c:v>
                </c:pt>
                <c:pt idx="19">
                  <c:v>28.505538361203357</c:v>
                </c:pt>
                <c:pt idx="20">
                  <c:v>28.505538361203357</c:v>
                </c:pt>
                <c:pt idx="21">
                  <c:v>28.505538361203357</c:v>
                </c:pt>
                <c:pt idx="22">
                  <c:v>28.505538361203357</c:v>
                </c:pt>
                <c:pt idx="23">
                  <c:v>28.505538361203357</c:v>
                </c:pt>
                <c:pt idx="24">
                  <c:v>28.505538361203357</c:v>
                </c:pt>
                <c:pt idx="25">
                  <c:v>28.505538361203357</c:v>
                </c:pt>
                <c:pt idx="26">
                  <c:v>28.505538361203357</c:v>
                </c:pt>
                <c:pt idx="27">
                  <c:v>28.505538361203357</c:v>
                </c:pt>
                <c:pt idx="28">
                  <c:v>28.505538361203357</c:v>
                </c:pt>
                <c:pt idx="29">
                  <c:v>28.505538361203357</c:v>
                </c:pt>
                <c:pt idx="30">
                  <c:v>28.505538361203357</c:v>
                </c:pt>
                <c:pt idx="31">
                  <c:v>28.505538361203357</c:v>
                </c:pt>
                <c:pt idx="32">
                  <c:v>28.505538361203357</c:v>
                </c:pt>
                <c:pt idx="33">
                  <c:v>28.505538361203357</c:v>
                </c:pt>
                <c:pt idx="34">
                  <c:v>28.505538361203357</c:v>
                </c:pt>
                <c:pt idx="35">
                  <c:v>28.505538361203357</c:v>
                </c:pt>
                <c:pt idx="36">
                  <c:v>28.505538361203357</c:v>
                </c:pt>
                <c:pt idx="37">
                  <c:v>28.505538361203357</c:v>
                </c:pt>
                <c:pt idx="38">
                  <c:v>28.267985492283039</c:v>
                </c:pt>
                <c:pt idx="39">
                  <c:v>26.80065399632479</c:v>
                </c:pt>
                <c:pt idx="40">
                  <c:v>25.399387116591797</c:v>
                </c:pt>
                <c:pt idx="41">
                  <c:v>24.059821377867095</c:v>
                </c:pt>
                <c:pt idx="42">
                  <c:v>22.777969295603505</c:v>
                </c:pt>
                <c:pt idx="43">
                  <c:v>21.550179732108745</c:v>
                </c:pt>
                <c:pt idx="44">
                  <c:v>20.373103165111473</c:v>
                </c:pt>
                <c:pt idx="45">
                  <c:v>19.243661172918948</c:v>
                </c:pt>
                <c:pt idx="46">
                  <c:v>18.159019550773806</c:v>
                </c:pt>
                <c:pt idx="47">
                  <c:v>17.116564564091455</c:v>
                </c:pt>
                <c:pt idx="48">
                  <c:v>16.113881919697988</c:v>
                </c:pt>
                <c:pt idx="49">
                  <c:v>15.148738098916988</c:v>
                </c:pt>
                <c:pt idx="50">
                  <c:v>14.219063748708857</c:v>
                </c:pt>
                <c:pt idx="51">
                  <c:v>13.322938870918749</c:v>
                </c:pt>
                <c:pt idx="52">
                  <c:v>12.458579586547236</c:v>
                </c:pt>
                <c:pt idx="53">
                  <c:v>11.624326283038227</c:v>
                </c:pt>
                <c:pt idx="54">
                  <c:v>10.818632978871451</c:v>
                </c:pt>
                <c:pt idx="55">
                  <c:v>10.040057762057058</c:v>
                </c:pt>
                <c:pt idx="56">
                  <c:v>9.2872541781169193</c:v>
                </c:pt>
                <c:pt idx="57">
                  <c:v>8.5589634593421255</c:v>
                </c:pt>
                <c:pt idx="58">
                  <c:v>7.8540075009847445</c:v>
                </c:pt>
                <c:pt idx="59">
                  <c:v>7.1712825019420787</c:v>
                </c:pt>
                <c:pt idx="60">
                  <c:v>6.5097531977297241</c:v>
                </c:pt>
                <c:pt idx="61">
                  <c:v>5.8684476223689757</c:v>
                </c:pt>
                <c:pt idx="62">
                  <c:v>5.246452343447352</c:v>
                </c:pt>
                <c:pt idx="63">
                  <c:v>4.6429081212248917</c:v>
                </c:pt>
                <c:pt idx="64">
                  <c:v>4.0570059484032175</c:v>
                </c:pt>
                <c:pt idx="65">
                  <c:v>3.4879834321735643</c:v>
                </c:pt>
                <c:pt idx="66">
                  <c:v>2.9351214845206268</c:v>
                </c:pt>
                <c:pt idx="67">
                  <c:v>2.3977412905699467</c:v>
                </c:pt>
                <c:pt idx="68">
                  <c:v>1.8752015281040215</c:v>
                </c:pt>
                <c:pt idx="69">
                  <c:v>1.3668958143006282</c:v>
                </c:pt>
                <c:pt idx="70">
                  <c:v>0.87225035832093134</c:v>
                </c:pt>
                <c:pt idx="71">
                  <c:v>0.39072180064205675</c:v>
                </c:pt>
                <c:pt idx="72">
                  <c:v>-7.820477797129044E-2</c:v>
                </c:pt>
                <c:pt idx="73">
                  <c:v>-0.53501769319393588</c:v>
                </c:pt>
                <c:pt idx="74">
                  <c:v>-0.98018035333939224</c:v>
                </c:pt>
                <c:pt idx="75">
                  <c:v>-1.4141328274167471</c:v>
                </c:pt>
                <c:pt idx="76">
                  <c:v>-1.8372932961991228</c:v>
                </c:pt>
                <c:pt idx="77">
                  <c:v>-2.2500593963614701</c:v>
                </c:pt>
                <c:pt idx="78">
                  <c:v>-2.6528094667693249</c:v>
                </c:pt>
                <c:pt idx="79">
                  <c:v>-3.0459037051291631</c:v>
                </c:pt>
                <c:pt idx="80">
                  <c:v>-3.4296852424330071</c:v>
                </c:pt>
                <c:pt idx="81">
                  <c:v>-3.8044811419337403</c:v>
                </c:pt>
                <c:pt idx="82">
                  <c:v>-4.1706033287640842</c:v>
                </c:pt>
                <c:pt idx="83">
                  <c:v>-4.5283494557527533</c:v>
                </c:pt>
                <c:pt idx="84">
                  <c:v>-4.8780037104888212</c:v>
                </c:pt>
                <c:pt idx="85">
                  <c:v>-5.2198375682334692</c:v>
                </c:pt>
                <c:pt idx="86">
                  <c:v>-5.5541104948713977</c:v>
                </c:pt>
                <c:pt idx="87">
                  <c:v>-5.881070603727256</c:v>
                </c:pt>
                <c:pt idx="88">
                  <c:v>-6.2009552697414136</c:v>
                </c:pt>
                <c:pt idx="89">
                  <c:v>-6.5139917042000928</c:v>
                </c:pt>
                <c:pt idx="90">
                  <c:v>-6.8203974929441884</c:v>
                </c:pt>
                <c:pt idx="91">
                  <c:v>-7.1203811007359894</c:v>
                </c:pt>
                <c:pt idx="92">
                  <c:v>-7.4141423442406351</c:v>
                </c:pt>
                <c:pt idx="93">
                  <c:v>-7.7018728358774444</c:v>
                </c:pt>
                <c:pt idx="94">
                  <c:v>-7.9837564006129558</c:v>
                </c:pt>
                <c:pt idx="95">
                  <c:v>-8.259969467600758</c:v>
                </c:pt>
                <c:pt idx="96">
                  <c:v>-8.53068143842148</c:v>
                </c:pt>
                <c:pt idx="97">
                  <c:v>-8.796055033537959</c:v>
                </c:pt>
                <c:pt idx="98">
                  <c:v>-9.0562466184544874</c:v>
                </c:pt>
                <c:pt idx="99">
                  <c:v>-9.3114065109538444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LDO-42STH60-2004AH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44.278816735581543</c:v>
                </c:pt>
                <c:pt idx="1">
                  <c:v>44.278816735581543</c:v>
                </c:pt>
                <c:pt idx="2">
                  <c:v>44.278816735581543</c:v>
                </c:pt>
                <c:pt idx="3">
                  <c:v>44.278816735581543</c:v>
                </c:pt>
                <c:pt idx="4">
                  <c:v>44.278816735581543</c:v>
                </c:pt>
                <c:pt idx="5">
                  <c:v>44.278816735581543</c:v>
                </c:pt>
                <c:pt idx="6">
                  <c:v>44.278816735581543</c:v>
                </c:pt>
                <c:pt idx="7">
                  <c:v>44.278816735581543</c:v>
                </c:pt>
                <c:pt idx="8">
                  <c:v>44.278816735581543</c:v>
                </c:pt>
                <c:pt idx="9">
                  <c:v>44.278816735581543</c:v>
                </c:pt>
                <c:pt idx="10">
                  <c:v>44.278816735581543</c:v>
                </c:pt>
                <c:pt idx="11">
                  <c:v>44.278816735581543</c:v>
                </c:pt>
                <c:pt idx="12">
                  <c:v>44.278816735581543</c:v>
                </c:pt>
                <c:pt idx="13">
                  <c:v>44.278816735581543</c:v>
                </c:pt>
                <c:pt idx="14">
                  <c:v>44.278816735581543</c:v>
                </c:pt>
                <c:pt idx="15">
                  <c:v>44.278816735581543</c:v>
                </c:pt>
                <c:pt idx="16">
                  <c:v>44.278816735581543</c:v>
                </c:pt>
                <c:pt idx="17">
                  <c:v>44.278816735581543</c:v>
                </c:pt>
                <c:pt idx="18">
                  <c:v>44.278816735581543</c:v>
                </c:pt>
                <c:pt idx="19">
                  <c:v>44.278816735581543</c:v>
                </c:pt>
                <c:pt idx="20">
                  <c:v>44.278816735581543</c:v>
                </c:pt>
                <c:pt idx="21">
                  <c:v>44.278816735581543</c:v>
                </c:pt>
                <c:pt idx="22">
                  <c:v>44.278816735581543</c:v>
                </c:pt>
                <c:pt idx="23">
                  <c:v>42.064815136440842</c:v>
                </c:pt>
                <c:pt idx="24">
                  <c:v>38.16330517699037</c:v>
                </c:pt>
                <c:pt idx="25">
                  <c:v>34.532184973821167</c:v>
                </c:pt>
                <c:pt idx="26">
                  <c:v>31.144287336151386</c:v>
                </c:pt>
                <c:pt idx="27">
                  <c:v>27.975966600846021</c:v>
                </c:pt>
                <c:pt idx="28">
                  <c:v>25.006545948361897</c:v>
                </c:pt>
                <c:pt idx="29">
                  <c:v>22.217865639698239</c:v>
                </c:pt>
                <c:pt idx="30">
                  <c:v>19.593911309612899</c:v>
                </c:pt>
                <c:pt idx="31">
                  <c:v>17.120506239817793</c:v>
                </c:pt>
                <c:pt idx="32">
                  <c:v>14.785055122481776</c:v>
                </c:pt>
                <c:pt idx="33">
                  <c:v>12.576329535211254</c:v>
                </c:pt>
                <c:pt idx="34">
                  <c:v>10.484287415079788</c:v>
                </c:pt>
                <c:pt idx="35">
                  <c:v>8.4999204070784025</c:v>
                </c:pt>
                <c:pt idx="36">
                  <c:v>6.6151241916353669</c:v>
                </c:pt>
                <c:pt idx="37">
                  <c:v>4.8225878543547438</c:v>
                </c:pt>
                <c:pt idx="38">
                  <c:v>3.1156991135353671</c:v>
                </c:pt>
                <c:pt idx="39">
                  <c:v>1.4884628154433859</c:v>
                </c:pt>
                <c:pt idx="40">
                  <c:v>-6.456942025496204E-2</c:v>
                </c:pt>
                <c:pt idx="41">
                  <c:v>-1.5483601448440272</c:v>
                </c:pt>
                <c:pt idx="42">
                  <c:v>-2.9674390511034208</c:v>
                </c:pt>
                <c:pt idx="43">
                  <c:v>-4.3259491612234058</c:v>
                </c:pt>
                <c:pt idx="44">
                  <c:v>-5.627687224150371</c:v>
                </c:pt>
                <c:pt idx="45">
                  <c:v>-6.8761391519841455</c:v>
                </c:pt>
                <c:pt idx="46">
                  <c:v>-8.0745111919320003</c:v>
                </c:pt>
                <c:pt idx="47">
                  <c:v>-9.225757420764543</c:v>
                </c:pt>
                <c:pt idx="48">
                  <c:v>-10.332604058173086</c:v>
                </c:pt>
                <c:pt idx="49">
                  <c:v>-11.397571020298685</c:v>
                </c:pt>
                <c:pt idx="50">
                  <c:v>-12.422991072129149</c:v>
                </c:pt>
                <c:pt idx="51">
                  <c:v>-13.411026885151109</c:v>
                </c:pt>
                <c:pt idx="52">
                  <c:v>-14.363686262764126</c:v>
                </c:pt>
                <c:pt idx="53">
                  <c:v>-14.419910279977152</c:v>
                </c:pt>
                <c:pt idx="54">
                  <c:v>-14.419910279977152</c:v>
                </c:pt>
                <c:pt idx="55">
                  <c:v>-14.419910279977152</c:v>
                </c:pt>
                <c:pt idx="56">
                  <c:v>-14.419910279977152</c:v>
                </c:pt>
                <c:pt idx="57">
                  <c:v>-14.419910279977152</c:v>
                </c:pt>
                <c:pt idx="58">
                  <c:v>-14.419910279977152</c:v>
                </c:pt>
                <c:pt idx="59">
                  <c:v>-14.419910279977152</c:v>
                </c:pt>
                <c:pt idx="60">
                  <c:v>-14.419910279977152</c:v>
                </c:pt>
                <c:pt idx="61">
                  <c:v>-14.419910279977152</c:v>
                </c:pt>
                <c:pt idx="62">
                  <c:v>-14.419910279977152</c:v>
                </c:pt>
                <c:pt idx="63">
                  <c:v>-14.419910279977152</c:v>
                </c:pt>
                <c:pt idx="64">
                  <c:v>-14.419910279977152</c:v>
                </c:pt>
                <c:pt idx="65">
                  <c:v>-14.419910279977152</c:v>
                </c:pt>
                <c:pt idx="66">
                  <c:v>-14.419910279977152</c:v>
                </c:pt>
                <c:pt idx="67">
                  <c:v>-14.419910279977152</c:v>
                </c:pt>
                <c:pt idx="68">
                  <c:v>-14.419910279977152</c:v>
                </c:pt>
                <c:pt idx="69">
                  <c:v>-14.419910279977152</c:v>
                </c:pt>
                <c:pt idx="70">
                  <c:v>-14.419910279977152</c:v>
                </c:pt>
                <c:pt idx="71">
                  <c:v>-14.419910279977152</c:v>
                </c:pt>
                <c:pt idx="72">
                  <c:v>-14.419910279977152</c:v>
                </c:pt>
                <c:pt idx="73">
                  <c:v>-14.419910279977152</c:v>
                </c:pt>
                <c:pt idx="74">
                  <c:v>-14.419910279977152</c:v>
                </c:pt>
                <c:pt idx="75">
                  <c:v>-14.419910279977152</c:v>
                </c:pt>
                <c:pt idx="76">
                  <c:v>-14.419910279977152</c:v>
                </c:pt>
                <c:pt idx="77">
                  <c:v>-14.419910279977152</c:v>
                </c:pt>
                <c:pt idx="78">
                  <c:v>-14.419910279977152</c:v>
                </c:pt>
                <c:pt idx="79">
                  <c:v>-14.419910279977152</c:v>
                </c:pt>
                <c:pt idx="80">
                  <c:v>-14.419910279977152</c:v>
                </c:pt>
                <c:pt idx="81">
                  <c:v>-14.419910279977152</c:v>
                </c:pt>
                <c:pt idx="82">
                  <c:v>-14.419910279977152</c:v>
                </c:pt>
                <c:pt idx="83">
                  <c:v>-14.419910279977152</c:v>
                </c:pt>
                <c:pt idx="84">
                  <c:v>-14.419910279977152</c:v>
                </c:pt>
                <c:pt idx="85">
                  <c:v>-14.419910279977152</c:v>
                </c:pt>
                <c:pt idx="86">
                  <c:v>-14.419910279977152</c:v>
                </c:pt>
                <c:pt idx="87">
                  <c:v>-14.419910279977152</c:v>
                </c:pt>
                <c:pt idx="88">
                  <c:v>-14.419910279977152</c:v>
                </c:pt>
                <c:pt idx="89">
                  <c:v>-14.419910279977152</c:v>
                </c:pt>
                <c:pt idx="90">
                  <c:v>-14.419910279977152</c:v>
                </c:pt>
                <c:pt idx="91">
                  <c:v>-14.419910279977152</c:v>
                </c:pt>
                <c:pt idx="92">
                  <c:v>-14.419910279977152</c:v>
                </c:pt>
                <c:pt idx="93">
                  <c:v>-14.419910279977152</c:v>
                </c:pt>
                <c:pt idx="94">
                  <c:v>-14.419910279977152</c:v>
                </c:pt>
                <c:pt idx="95">
                  <c:v>-14.419910279977152</c:v>
                </c:pt>
                <c:pt idx="96">
                  <c:v>-14.419910279977152</c:v>
                </c:pt>
                <c:pt idx="97">
                  <c:v>-14.419910279977152</c:v>
                </c:pt>
                <c:pt idx="98">
                  <c:v>-14.419910279977152</c:v>
                </c:pt>
                <c:pt idx="99">
                  <c:v>-14.419910279977152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48V, 20T, 90k, 500g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UI!$AK$2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UI!$AK$3:$AK$102</c:f>
              <c:numCache>
                <c:formatCode>0.0</c:formatCode>
                <c:ptCount val="100"/>
                <c:pt idx="0">
                  <c:v>5.6</c:v>
                </c:pt>
                <c:pt idx="1">
                  <c:v>6.9108097595473836</c:v>
                </c:pt>
                <c:pt idx="2">
                  <c:v>8.2216195190947658</c:v>
                </c:pt>
                <c:pt idx="3">
                  <c:v>9.5324292786421498</c:v>
                </c:pt>
                <c:pt idx="4">
                  <c:v>10.843239038189534</c:v>
                </c:pt>
                <c:pt idx="5">
                  <c:v>12.154048797736916</c:v>
                </c:pt>
                <c:pt idx="6">
                  <c:v>13.4648585572843</c:v>
                </c:pt>
                <c:pt idx="7">
                  <c:v>14.775668316831684</c:v>
                </c:pt>
                <c:pt idx="8">
                  <c:v>16.086478076379066</c:v>
                </c:pt>
                <c:pt idx="9">
                  <c:v>17.397287835926448</c:v>
                </c:pt>
                <c:pt idx="10">
                  <c:v>18.708097595473834</c:v>
                </c:pt>
                <c:pt idx="11">
                  <c:v>20.01890735502122</c:v>
                </c:pt>
                <c:pt idx="12">
                  <c:v>21.329717114568602</c:v>
                </c:pt>
                <c:pt idx="13">
                  <c:v>22.640526874115984</c:v>
                </c:pt>
                <c:pt idx="14">
                  <c:v>23.951336633663367</c:v>
                </c:pt>
                <c:pt idx="15">
                  <c:v>25.262146393210749</c:v>
                </c:pt>
                <c:pt idx="16">
                  <c:v>26.572956152758138</c:v>
                </c:pt>
                <c:pt idx="17">
                  <c:v>27.88376591230552</c:v>
                </c:pt>
                <c:pt idx="18">
                  <c:v>29.194575671852903</c:v>
                </c:pt>
                <c:pt idx="19">
                  <c:v>30.505385431400285</c:v>
                </c:pt>
                <c:pt idx="20">
                  <c:v>31.816195190947667</c:v>
                </c:pt>
                <c:pt idx="21">
                  <c:v>33.127004950495049</c:v>
                </c:pt>
                <c:pt idx="22">
                  <c:v>34.437814710042439</c:v>
                </c:pt>
                <c:pt idx="23">
                  <c:v>35.748624469589821</c:v>
                </c:pt>
                <c:pt idx="24">
                  <c:v>37.059434229137203</c:v>
                </c:pt>
                <c:pt idx="25">
                  <c:v>38.370243988684585</c:v>
                </c:pt>
                <c:pt idx="26">
                  <c:v>39.681053748231975</c:v>
                </c:pt>
                <c:pt idx="27">
                  <c:v>40.991863507779357</c:v>
                </c:pt>
                <c:pt idx="28">
                  <c:v>42.302673267326739</c:v>
                </c:pt>
                <c:pt idx="29">
                  <c:v>41.763096751400774</c:v>
                </c:pt>
                <c:pt idx="30">
                  <c:v>40.519642784789987</c:v>
                </c:pt>
                <c:pt idx="31">
                  <c:v>39.321587430046179</c:v>
                </c:pt>
                <c:pt idx="32">
                  <c:v>38.16288121746863</c:v>
                </c:pt>
                <c:pt idx="33">
                  <c:v>37.03838035112031</c:v>
                </c:pt>
                <c:pt idx="34">
                  <c:v>35.943693569720807</c:v>
                </c:pt>
                <c:pt idx="35">
                  <c:v>34.875057922223171</c:v>
                </c:pt>
                <c:pt idx="36">
                  <c:v>33.829237438979376</c:v>
                </c:pt>
                <c:pt idx="37">
                  <c:v>32.803440045161807</c:v>
                </c:pt>
                <c:pt idx="38">
                  <c:v>31.79524909433913</c:v>
                </c:pt>
                <c:pt idx="39">
                  <c:v>30.802566684537414</c:v>
                </c:pt>
                <c:pt idx="40">
                  <c:v>29.82356652001922</c:v>
                </c:pt>
                <c:pt idx="41">
                  <c:v>28.856654545399788</c:v>
                </c:pt>
                <c:pt idx="42">
                  <c:v>27.900435938325096</c:v>
                </c:pt>
                <c:pt idx="43">
                  <c:v>26.953687327688584</c:v>
                </c:pt>
                <c:pt idx="44">
                  <c:v>26.015333324808953</c:v>
                </c:pt>
                <c:pt idx="45">
                  <c:v>25.084426629032201</c:v>
                </c:pt>
                <c:pt idx="46">
                  <c:v>24.160131107342135</c:v>
                </c:pt>
                <c:pt idx="47">
                  <c:v>23.241707357724497</c:v>
                </c:pt>
                <c:pt idx="48">
                  <c:v>22.328500354309227</c:v>
                </c:pt>
                <c:pt idx="49">
                  <c:v>21.419928843382795</c:v>
                </c:pt>
                <c:pt idx="50">
                  <c:v>20.51547621682252</c:v>
                </c:pt>
                <c:pt idx="51">
                  <c:v>19.614682636158875</c:v>
                </c:pt>
                <c:pt idx="52">
                  <c:v>18.71713821850264</c:v>
                </c:pt>
                <c:pt idx="53">
                  <c:v>17.82247712669675</c:v>
                </c:pt>
                <c:pt idx="54">
                  <c:v>16.930372431614952</c:v>
                </c:pt>
                <c:pt idx="55">
                  <c:v>16.04053163560144</c:v>
                </c:pt>
                <c:pt idx="56">
                  <c:v>15.152692763473906</c:v>
                </c:pt>
                <c:pt idx="57">
                  <c:v>14.266620941976422</c:v>
                </c:pt>
                <c:pt idx="58">
                  <c:v>13.382105400609072</c:v>
                </c:pt>
                <c:pt idx="59">
                  <c:v>12.498956836816792</c:v>
                </c:pt>
                <c:pt idx="60">
                  <c:v>11.617005096940895</c:v>
                </c:pt>
                <c:pt idx="61">
                  <c:v>10.736097131410755</c:v>
                </c:pt>
                <c:pt idx="62">
                  <c:v>9.8560951886107127</c:v>
                </c:pt>
                <c:pt idx="63">
                  <c:v>8.9768752168888781</c:v>
                </c:pt>
                <c:pt idx="64">
                  <c:v>8.0983254484347391</c:v>
                </c:pt>
                <c:pt idx="65">
                  <c:v>7.2203451423684957</c:v>
                </c:pt>
                <c:pt idx="66">
                  <c:v>6.3428434674621998</c:v>
                </c:pt>
                <c:pt idx="67">
                  <c:v>5.4657385075367344</c:v>
                </c:pt>
                <c:pt idx="68">
                  <c:v>4.58895637482214</c:v>
                </c:pt>
                <c:pt idx="69">
                  <c:v>3.7124304184904142</c:v>
                </c:pt>
                <c:pt idx="70">
                  <c:v>2.8361005172199523</c:v>
                </c:pt>
                <c:pt idx="71">
                  <c:v>1.9599124460701867</c:v>
                </c:pt>
                <c:pt idx="72">
                  <c:v>1.0838173091686305</c:v>
                </c:pt>
                <c:pt idx="73">
                  <c:v>0.20777103076946121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UI!$AL$2</c:f>
              <c:strCache>
                <c:ptCount val="1"/>
                <c:pt idx="0">
                  <c:v>OMC-17HM19-2004S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UI!$AL$3:$AL$102</c:f>
              <c:numCache>
                <c:formatCode>0.0</c:formatCode>
                <c:ptCount val="100"/>
                <c:pt idx="0">
                  <c:v>5.8</c:v>
                </c:pt>
                <c:pt idx="1">
                  <c:v>6.8219872701555868</c:v>
                </c:pt>
                <c:pt idx="2">
                  <c:v>7.8439745403111738</c:v>
                </c:pt>
                <c:pt idx="3">
                  <c:v>8.8659618104667608</c:v>
                </c:pt>
                <c:pt idx="4">
                  <c:v>9.8879490806223487</c:v>
                </c:pt>
                <c:pt idx="5">
                  <c:v>10.909936350777937</c:v>
                </c:pt>
                <c:pt idx="6">
                  <c:v>11.931923620933523</c:v>
                </c:pt>
                <c:pt idx="7">
                  <c:v>12.953910891089109</c:v>
                </c:pt>
                <c:pt idx="8">
                  <c:v>13.975898161244697</c:v>
                </c:pt>
                <c:pt idx="9">
                  <c:v>14.997885431400285</c:v>
                </c:pt>
                <c:pt idx="10">
                  <c:v>16.019872701555872</c:v>
                </c:pt>
                <c:pt idx="11">
                  <c:v>17.041859971711457</c:v>
                </c:pt>
                <c:pt idx="12">
                  <c:v>18.063847241867045</c:v>
                </c:pt>
                <c:pt idx="13">
                  <c:v>19.085834512022632</c:v>
                </c:pt>
                <c:pt idx="14">
                  <c:v>20.10782178217822</c:v>
                </c:pt>
                <c:pt idx="15">
                  <c:v>20.955660225066559</c:v>
                </c:pt>
                <c:pt idx="16">
                  <c:v>20.054275562351254</c:v>
                </c:pt>
                <c:pt idx="17">
                  <c:v>19.276783085553557</c:v>
                </c:pt>
                <c:pt idx="18">
                  <c:v>18.596729714578998</c:v>
                </c:pt>
                <c:pt idx="19">
                  <c:v>17.994242075306488</c:v>
                </c:pt>
                <c:pt idx="20">
                  <c:v>17.454171913204924</c:v>
                </c:pt>
                <c:pt idx="21">
                  <c:v>16.964821213277734</c:v>
                </c:pt>
                <c:pt idx="22">
                  <c:v>16.51704937051937</c:v>
                </c:pt>
                <c:pt idx="23">
                  <c:v>16.103637331254671</c:v>
                </c:pt>
                <c:pt idx="24">
                  <c:v>15.718827791300781</c:v>
                </c:pt>
                <c:pt idx="25">
                  <c:v>15.357988053090001</c:v>
                </c:pt>
                <c:pt idx="26">
                  <c:v>15.017359656976319</c:v>
                </c:pt>
                <c:pt idx="27">
                  <c:v>14.693870267434271</c:v>
                </c:pt>
                <c:pt idx="28">
                  <c:v>14.384990803322971</c:v>
                </c:pt>
                <c:pt idx="29">
                  <c:v>14.088625843659585</c:v>
                </c:pt>
                <c:pt idx="30">
                  <c:v>13.803028777990269</c:v>
                </c:pt>
                <c:pt idx="31">
                  <c:v>13.526735547099372</c:v>
                </c:pt>
                <c:pt idx="32">
                  <c:v>13.258512484374405</c:v>
                </c:pt>
                <c:pt idx="33">
                  <c:v>12.997314948152471</c:v>
                </c:pt>
                <c:pt idx="34">
                  <c:v>12.742254281348762</c:v>
                </c:pt>
                <c:pt idx="35">
                  <c:v>12.492571247589666</c:v>
                </c:pt>
                <c:pt idx="36">
                  <c:v>12.247614541550249</c:v>
                </c:pt>
                <c:pt idx="37">
                  <c:v>12.006823302405827</c:v>
                </c:pt>
                <c:pt idx="38">
                  <c:v>11.769712806056599</c:v>
                </c:pt>
                <c:pt idx="39">
                  <c:v>11.535862697129785</c:v>
                </c:pt>
                <c:pt idx="40">
                  <c:v>11.304907262071403</c:v>
                </c:pt>
                <c:pt idx="41">
                  <c:v>11.076527351637186</c:v>
                </c:pt>
                <c:pt idx="42">
                  <c:v>10.850443643257504</c:v>
                </c:pt>
                <c:pt idx="43">
                  <c:v>10.62641099726531</c:v>
                </c:pt>
                <c:pt idx="44">
                  <c:v>10.404213710382193</c:v>
                </c:pt>
                <c:pt idx="45">
                  <c:v>10.183661508519201</c:v>
                </c:pt>
                <c:pt idx="46">
                  <c:v>9.9645861513751957</c:v>
                </c:pt>
                <c:pt idx="47">
                  <c:v>9.746838545390732</c:v>
                </c:pt>
                <c:pt idx="48">
                  <c:v>9.5302862807640469</c:v>
                </c:pt>
                <c:pt idx="49">
                  <c:v>9.3148115235413904</c:v>
                </c:pt>
                <c:pt idx="50">
                  <c:v>9.1003092060858375</c:v>
                </c:pt>
                <c:pt idx="51">
                  <c:v>8.8866854691450765</c:v>
                </c:pt>
                <c:pt idx="52">
                  <c:v>8.673856316773465</c:v>
                </c:pt>
                <c:pt idx="53">
                  <c:v>8.4617464519007282</c:v>
                </c:pt>
                <c:pt idx="54">
                  <c:v>8.2502882656799681</c:v>
                </c:pt>
                <c:pt idx="55">
                  <c:v>8.0394209581265876</c:v>
                </c:pt>
                <c:pt idx="56">
                  <c:v>7.8290897711638472</c:v>
                </c:pt>
                <c:pt idx="57">
                  <c:v>7.6192453181679074</c:v>
                </c:pt>
                <c:pt idx="58">
                  <c:v>7.4098429965722818</c:v>
                </c:pt>
                <c:pt idx="59">
                  <c:v>7.2008424721435169</c:v>
                </c:pt>
                <c:pt idx="60">
                  <c:v>6.9922072252512368</c:v>
                </c:pt>
                <c:pt idx="61">
                  <c:v>6.7839041508878433</c:v>
                </c:pt>
                <c:pt idx="62">
                  <c:v>6.5759032053949475</c:v>
                </c:pt>
                <c:pt idx="63">
                  <c:v>6.3681770938650724</c:v>
                </c:pt>
                <c:pt idx="64">
                  <c:v>6.160700993040841</c:v>
                </c:pt>
                <c:pt idx="65">
                  <c:v>5.9534523052562154</c:v>
                </c:pt>
                <c:pt idx="66">
                  <c:v>5.74641043957714</c:v>
                </c:pt>
                <c:pt idx="67">
                  <c:v>5.5395566168202723</c:v>
                </c:pt>
                <c:pt idx="68">
                  <c:v>5.3328736955728022</c:v>
                </c:pt>
                <c:pt idx="69">
                  <c:v>5.1263460167161607</c:v>
                </c:pt>
                <c:pt idx="70">
                  <c:v>4.9199592642817631</c:v>
                </c:pt>
                <c:pt idx="71">
                  <c:v>4.7137003407460778</c:v>
                </c:pt>
                <c:pt idx="72">
                  <c:v>4.5075572551126113</c:v>
                </c:pt>
                <c:pt idx="73">
                  <c:v>4.3015190223354844</c:v>
                </c:pt>
                <c:pt idx="74">
                  <c:v>4.0955755728180785</c:v>
                </c:pt>
                <c:pt idx="75">
                  <c:v>3.889717670875156</c:v>
                </c:pt>
                <c:pt idx="76">
                  <c:v>3.6839368411810565</c:v>
                </c:pt>
                <c:pt idx="77">
                  <c:v>3.4782253023432013</c:v>
                </c:pt>
                <c:pt idx="78">
                  <c:v>3.2725759068416886</c:v>
                </c:pt>
                <c:pt idx="79">
                  <c:v>3.066982086664201</c:v>
                </c:pt>
                <c:pt idx="80">
                  <c:v>2.8614378040428594</c:v>
                </c:pt>
                <c:pt idx="81">
                  <c:v>2.6559375067671072</c:v>
                </c:pt>
                <c:pt idx="82">
                  <c:v>2.4504760876061105</c:v>
                </c:pt>
                <c:pt idx="83">
                  <c:v>2.2450488474260903</c:v>
                </c:pt>
                <c:pt idx="84">
                  <c:v>2.0396514616336772</c:v>
                </c:pt>
                <c:pt idx="85">
                  <c:v>1.8342799496166684</c:v>
                </c:pt>
                <c:pt idx="86">
                  <c:v>1.6289306468890177</c:v>
                </c:pt>
                <c:pt idx="87">
                  <c:v>1.4236001796781643</c:v>
                </c:pt>
                <c:pt idx="88">
                  <c:v>1.2182854417205173</c:v>
                </c:pt>
                <c:pt idx="89">
                  <c:v>1.0129835730554422</c:v>
                </c:pt>
                <c:pt idx="90">
                  <c:v>0.80769194062974181</c:v>
                </c:pt>
                <c:pt idx="91">
                  <c:v>0.60240812054398196</c:v>
                </c:pt>
                <c:pt idx="92">
                  <c:v>0.39712988178908482</c:v>
                </c:pt>
                <c:pt idx="93">
                  <c:v>0.19185517133692656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UI!$AM$2</c:f>
              <c:strCache>
                <c:ptCount val="1"/>
                <c:pt idx="0">
                  <c:v>LDO-42STH48-2004AC 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UI!$AM$3:$AM$102</c:f>
              <c:numCache>
                <c:formatCode>0.0</c:formatCode>
                <c:ptCount val="100"/>
                <c:pt idx="0">
                  <c:v>6.4</c:v>
                </c:pt>
                <c:pt idx="1">
                  <c:v>7.688592644978784</c:v>
                </c:pt>
                <c:pt idx="2">
                  <c:v>8.9771852899575677</c:v>
                </c:pt>
                <c:pt idx="3">
                  <c:v>10.265777934936352</c:v>
                </c:pt>
                <c:pt idx="4">
                  <c:v>11.554370579915135</c:v>
                </c:pt>
                <c:pt idx="5">
                  <c:v>12.842963224893918</c:v>
                </c:pt>
                <c:pt idx="6">
                  <c:v>14.131555869872702</c:v>
                </c:pt>
                <c:pt idx="7">
                  <c:v>15.420148514851487</c:v>
                </c:pt>
                <c:pt idx="8">
                  <c:v>16.708741159830268</c:v>
                </c:pt>
                <c:pt idx="9">
                  <c:v>17.997333804809053</c:v>
                </c:pt>
                <c:pt idx="10">
                  <c:v>19.285926449787837</c:v>
                </c:pt>
                <c:pt idx="11">
                  <c:v>20.574519094766622</c:v>
                </c:pt>
                <c:pt idx="12">
                  <c:v>21.863111739745406</c:v>
                </c:pt>
                <c:pt idx="13">
                  <c:v>23.151704384724191</c:v>
                </c:pt>
                <c:pt idx="14">
                  <c:v>24.440297029702975</c:v>
                </c:pt>
                <c:pt idx="15">
                  <c:v>25.72888967468176</c:v>
                </c:pt>
                <c:pt idx="16">
                  <c:v>27.017482319660537</c:v>
                </c:pt>
                <c:pt idx="17">
                  <c:v>28.306074964639322</c:v>
                </c:pt>
                <c:pt idx="18">
                  <c:v>29.594667609618106</c:v>
                </c:pt>
                <c:pt idx="19">
                  <c:v>30.883260254596891</c:v>
                </c:pt>
                <c:pt idx="20">
                  <c:v>32.171852899575676</c:v>
                </c:pt>
                <c:pt idx="21">
                  <c:v>33.46044554455446</c:v>
                </c:pt>
                <c:pt idx="22">
                  <c:v>34.749038189533245</c:v>
                </c:pt>
                <c:pt idx="23">
                  <c:v>36.037630834512029</c:v>
                </c:pt>
                <c:pt idx="24">
                  <c:v>37.326223479490807</c:v>
                </c:pt>
                <c:pt idx="25">
                  <c:v>38.614816124469591</c:v>
                </c:pt>
                <c:pt idx="26">
                  <c:v>39.903408769448376</c:v>
                </c:pt>
                <c:pt idx="27">
                  <c:v>41.19200141442716</c:v>
                </c:pt>
                <c:pt idx="28">
                  <c:v>42.480594059405945</c:v>
                </c:pt>
                <c:pt idx="29">
                  <c:v>41.781765364890411</c:v>
                </c:pt>
                <c:pt idx="30">
                  <c:v>40.526735865324227</c:v>
                </c:pt>
                <c:pt idx="31">
                  <c:v>39.321819693155675</c:v>
                </c:pt>
                <c:pt idx="32">
                  <c:v>38.160433560644954</c:v>
                </c:pt>
                <c:pt idx="33">
                  <c:v>37.036967374583632</c:v>
                </c:pt>
                <c:pt idx="34">
                  <c:v>35.946621624985632</c:v>
                </c:pt>
                <c:pt idx="35">
                  <c:v>34.885275129635254</c:v>
                </c:pt>
                <c:pt idx="36">
                  <c:v>33.849376884373271</c:v>
                </c:pt>
                <c:pt idx="37">
                  <c:v>32.835857172178777</c:v>
                </c:pt>
                <c:pt idx="38">
                  <c:v>31.842054147120304</c:v>
                </c:pt>
                <c:pt idx="39">
                  <c:v>30.865652920419588</c:v>
                </c:pt>
                <c:pt idx="40">
                  <c:v>29.904634799126342</c:v>
                </c:pt>
                <c:pt idx="41">
                  <c:v>28.957234809902296</c:v>
                </c:pt>
                <c:pt idx="42">
                  <c:v>28.021906015486007</c:v>
                </c:pt>
                <c:pt idx="43">
                  <c:v>27.09728942500081</c:v>
                </c:pt>
                <c:pt idx="44">
                  <c:v>26.18218853036975</c:v>
                </c:pt>
                <c:pt idx="45">
                  <c:v>25.27554768399035</c:v>
                </c:pt>
                <c:pt idx="46">
                  <c:v>24.376433678296646</c:v>
                </c:pt>
                <c:pt idx="47">
                  <c:v>23.484020004116726</c:v>
                </c:pt>
                <c:pt idx="48">
                  <c:v>22.597573358113561</c:v>
                </c:pt>
                <c:pt idx="49">
                  <c:v>21.716442044922672</c:v>
                </c:pt>
                <c:pt idx="50">
                  <c:v>20.840045980621685</c:v>
                </c:pt>
                <c:pt idx="51">
                  <c:v>19.967868053805692</c:v>
                </c:pt>
                <c:pt idx="52">
                  <c:v>19.099446641079989</c:v>
                </c:pt>
                <c:pt idx="53">
                  <c:v>18.234369107013293</c:v>
                </c:pt>
                <c:pt idx="54">
                  <c:v>17.372266145935985</c:v>
                </c:pt>
                <c:pt idx="55">
                  <c:v>16.512806845542137</c:v>
                </c:pt>
                <c:pt idx="56">
                  <c:v>15.655694370955315</c:v>
                </c:pt>
                <c:pt idx="57">
                  <c:v>14.800662183461622</c:v>
                </c:pt>
                <c:pt idx="58">
                  <c:v>13.947470721072214</c:v>
                </c:pt>
                <c:pt idx="59">
                  <c:v>13.095904478915321</c:v>
                </c:pt>
                <c:pt idx="60">
                  <c:v>12.245769436546547</c:v>
                </c:pt>
                <c:pt idx="61">
                  <c:v>11.396890786911827</c:v>
                </c:pt>
                <c:pt idx="62">
                  <c:v>10.549110928144399</c:v>
                </c:pt>
                <c:pt idx="63">
                  <c:v>9.7022876848296811</c:v>
                </c:pt>
                <c:pt idx="64">
                  <c:v>8.85629272999374</c:v>
                </c:pt>
                <c:pt idx="65">
                  <c:v>8.0110101829992217</c:v>
                </c:pt>
                <c:pt idx="66">
                  <c:v>7.1663353618790637</c:v>
                </c:pt>
                <c:pt idx="67">
                  <c:v>6.3221736714953298</c:v>
                </c:pt>
                <c:pt idx="68">
                  <c:v>5.4784396113561096</c:v>
                </c:pt>
                <c:pt idx="69">
                  <c:v>4.6350558890201832</c:v>
                </c:pt>
                <c:pt idx="70">
                  <c:v>3.791952626821979</c:v>
                </c:pt>
                <c:pt idx="71">
                  <c:v>2.9490666512013703</c:v>
                </c:pt>
                <c:pt idx="72">
                  <c:v>2.1063408552624074</c:v>
                </c:pt>
                <c:pt idx="73">
                  <c:v>1.2637236263435483</c:v>
                </c:pt>
                <c:pt idx="74">
                  <c:v>0.42116833138474219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UI!$AN$2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UI!$AN$3:$AN$102</c:f>
              <c:numCache>
                <c:formatCode>0.0</c:formatCode>
                <c:ptCount val="100"/>
                <c:pt idx="0">
                  <c:v>4.4000000000000004</c:v>
                </c:pt>
                <c:pt idx="1">
                  <c:v>5.177599009900991</c:v>
                </c:pt>
                <c:pt idx="2">
                  <c:v>5.9551980198019807</c:v>
                </c:pt>
                <c:pt idx="3">
                  <c:v>6.7327970297029704</c:v>
                </c:pt>
                <c:pt idx="4">
                  <c:v>7.5103960396039611</c:v>
                </c:pt>
                <c:pt idx="5">
                  <c:v>8.2879950495049517</c:v>
                </c:pt>
                <c:pt idx="6">
                  <c:v>9.0655940594059423</c:v>
                </c:pt>
                <c:pt idx="7">
                  <c:v>9.8431930693069312</c:v>
                </c:pt>
                <c:pt idx="8">
                  <c:v>10.620792079207922</c:v>
                </c:pt>
                <c:pt idx="9">
                  <c:v>11.398391089108912</c:v>
                </c:pt>
                <c:pt idx="10">
                  <c:v>12.175990099009901</c:v>
                </c:pt>
                <c:pt idx="11">
                  <c:v>12.953589108910892</c:v>
                </c:pt>
                <c:pt idx="12">
                  <c:v>13.731188118811883</c:v>
                </c:pt>
                <c:pt idx="13">
                  <c:v>14.508787128712873</c:v>
                </c:pt>
                <c:pt idx="14">
                  <c:v>15.286386138613864</c:v>
                </c:pt>
                <c:pt idx="15">
                  <c:v>16.063985148514853</c:v>
                </c:pt>
                <c:pt idx="16">
                  <c:v>16.841584158415841</c:v>
                </c:pt>
                <c:pt idx="17">
                  <c:v>17.619183168316834</c:v>
                </c:pt>
                <c:pt idx="18">
                  <c:v>18.396782178217826</c:v>
                </c:pt>
                <c:pt idx="19">
                  <c:v>19.174381188118815</c:v>
                </c:pt>
                <c:pt idx="20">
                  <c:v>19.951980198019804</c:v>
                </c:pt>
                <c:pt idx="21">
                  <c:v>20.729579207920793</c:v>
                </c:pt>
                <c:pt idx="22">
                  <c:v>20.590013334425905</c:v>
                </c:pt>
                <c:pt idx="23">
                  <c:v>20.061375846406222</c:v>
                </c:pt>
                <c:pt idx="24">
                  <c:v>19.579591950865197</c:v>
                </c:pt>
                <c:pt idx="25">
                  <c:v>19.137263025404575</c:v>
                </c:pt>
                <c:pt idx="26">
                  <c:v>18.72836548821541</c:v>
                </c:pt>
                <c:pt idx="27">
                  <c:v>18.34795808941157</c:v>
                </c:pt>
                <c:pt idx="28">
                  <c:v>17.991959019546069</c:v>
                </c:pt>
                <c:pt idx="29">
                  <c:v>17.656974492277673</c:v>
                </c:pt>
                <c:pt idx="30">
                  <c:v>17.340165695906535</c:v>
                </c:pt>
                <c:pt idx="31">
                  <c:v>17.039144638007688</c:v>
                </c:pt>
                <c:pt idx="32">
                  <c:v>16.751891955087665</c:v>
                </c:pt>
                <c:pt idx="33">
                  <c:v>16.476691569101622</c:v>
                </c:pt>
                <c:pt idx="34">
                  <c:v>16.212078372926193</c:v>
                </c:pt>
                <c:pt idx="35">
                  <c:v>15.95679607083648</c:v>
                </c:pt>
                <c:pt idx="36">
                  <c:v>15.709762992082922</c:v>
                </c:pt>
                <c:pt idx="37">
                  <c:v>15.470044207731988</c:v>
                </c:pt>
                <c:pt idx="38">
                  <c:v>15.236828663134482</c:v>
                </c:pt>
                <c:pt idx="39">
                  <c:v>15.009410325999294</c:v>
                </c:pt>
                <c:pt idx="40">
                  <c:v>14.787172568166486</c:v>
                </c:pt>
                <c:pt idx="41">
                  <c:v>14.569575165799973</c:v>
                </c:pt>
                <c:pt idx="42">
                  <c:v>14.356143430897323</c:v>
                </c:pt>
                <c:pt idx="43">
                  <c:v>14.14645908626529</c:v>
                </c:pt>
                <c:pt idx="44">
                  <c:v>13.940152573444061</c:v>
                </c:pt>
                <c:pt idx="45">
                  <c:v>13.73689654368073</c:v>
                </c:pt>
                <c:pt idx="46">
                  <c:v>13.536400329835599</c:v>
                </c:pt>
                <c:pt idx="47">
                  <c:v>13.338405234976129</c:v>
                </c:pt>
                <c:pt idx="48">
                  <c:v>13.142680503582961</c:v>
                </c:pt>
                <c:pt idx="49">
                  <c:v>12.949019865446276</c:v>
                </c:pt>
                <c:pt idx="50">
                  <c:v>12.75723856175909</c:v>
                </c:pt>
                <c:pt idx="51">
                  <c:v>12.567170778612606</c:v>
                </c:pt>
                <c:pt idx="52">
                  <c:v>12.378667425838255</c:v>
                </c:pt>
                <c:pt idx="53">
                  <c:v>12.191594209522428</c:v>
                </c:pt>
                <c:pt idx="54">
                  <c:v>12.005829955013466</c:v>
                </c:pt>
                <c:pt idx="55">
                  <c:v>11.821265144215946</c:v>
                </c:pt>
                <c:pt idx="56">
                  <c:v>11.637800636717571</c:v>
                </c:pt>
                <c:pt idx="57">
                  <c:v>11.455346549050752</c:v>
                </c:pt>
                <c:pt idx="58">
                  <c:v>11.273821270339264</c:v>
                </c:pt>
                <c:pt idx="59">
                  <c:v>11.09315059586905</c:v>
                </c:pt>
                <c:pt idx="60">
                  <c:v>10.913266962869175</c:v>
                </c:pt>
                <c:pt idx="61">
                  <c:v>10.734108775091487</c:v>
                </c:pt>
                <c:pt idx="62">
                  <c:v>10.555619804712471</c:v>
                </c:pt>
                <c:pt idx="63">
                  <c:v>10.377748661711953</c:v>
                </c:pt>
                <c:pt idx="64">
                  <c:v>10.200448322261909</c:v>
                </c:pt>
                <c:pt idx="65">
                  <c:v>10.023675708827128</c:v>
                </c:pt>
                <c:pt idx="66">
                  <c:v>9.847391315672203</c:v>
                </c:pt>
                <c:pt idx="67">
                  <c:v>9.6715588743150835</c:v>
                </c:pt>
                <c:pt idx="68">
                  <c:v>9.4961450541894958</c:v>
                </c:pt>
                <c:pt idx="69">
                  <c:v>9.3211191943966405</c:v>
                </c:pt>
                <c:pt idx="70">
                  <c:v>9.1464530629567928</c:v>
                </c:pt>
                <c:pt idx="71">
                  <c:v>8.972120640427276</c:v>
                </c:pt>
                <c:pt idx="72">
                  <c:v>8.7980979251460649</c:v>
                </c:pt>
                <c:pt idx="73">
                  <c:v>8.624362757699366</c:v>
                </c:pt>
                <c:pt idx="74">
                  <c:v>8.4508946625049184</c:v>
                </c:pt>
                <c:pt idx="75">
                  <c:v>8.2776747046571337</c:v>
                </c:pt>
                <c:pt idx="76">
                  <c:v>8.1046853604009694</c:v>
                </c:pt>
                <c:pt idx="77">
                  <c:v>7.9319103997937139</c:v>
                </c:pt>
                <c:pt idx="78">
                  <c:v>7.759334780281427</c:v>
                </c:pt>
                <c:pt idx="79">
                  <c:v>7.5869445500629356</c:v>
                </c:pt>
                <c:pt idx="80">
                  <c:v>7.4147267602424742</c:v>
                </c:pt>
                <c:pt idx="81">
                  <c:v>7.242669384884004</c:v>
                </c:pt>
                <c:pt idx="82">
                  <c:v>7.070761248178794</c:v>
                </c:pt>
                <c:pt idx="83">
                  <c:v>6.8989919580242614</c:v>
                </c:pt>
                <c:pt idx="84">
                  <c:v>6.727351845388319</c:v>
                </c:pt>
                <c:pt idx="85">
                  <c:v>6.555831908900573</c:v>
                </c:pt>
                <c:pt idx="86">
                  <c:v>6.3844237641709851</c:v>
                </c:pt>
                <c:pt idx="87">
                  <c:v>6.2131195973891522</c:v>
                </c:pt>
                <c:pt idx="88">
                  <c:v>6.0419121228036978</c:v>
                </c:pt>
                <c:pt idx="89">
                  <c:v>5.8707945437224618</c:v>
                </c:pt>
                <c:pt idx="90">
                  <c:v>5.6997605167107821</c:v>
                </c:pt>
                <c:pt idx="91">
                  <c:v>5.5288041186975896</c:v>
                </c:pt>
                <c:pt idx="92">
                  <c:v>5.3579198167280682</c:v>
                </c:pt>
                <c:pt idx="93">
                  <c:v>5.1871024401273225</c:v>
                </c:pt>
                <c:pt idx="94">
                  <c:v>5.0163471548625722</c:v>
                </c:pt>
                <c:pt idx="95">
                  <c:v>4.8456494399120063</c:v>
                </c:pt>
                <c:pt idx="96">
                  <c:v>4.6750050654666557</c:v>
                </c:pt>
                <c:pt idx="97">
                  <c:v>4.5044100728083549</c:v>
                </c:pt>
                <c:pt idx="98">
                  <c:v>4.3338607557213988</c:v>
                </c:pt>
                <c:pt idx="99">
                  <c:v>4.1633536433089375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UI!$AO$2</c:f>
              <c:strCache>
                <c:ptCount val="1"/>
                <c:pt idx="0">
                  <c:v>LDO-42STH48-1684MAH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UI!$AO$3:$AO$102</c:f>
              <c:numCache>
                <c:formatCode>0.0</c:formatCode>
                <c:ptCount val="100"/>
                <c:pt idx="0">
                  <c:v>4.6569599999999998</c:v>
                </c:pt>
                <c:pt idx="1">
                  <c:v>5.5234274681753881</c:v>
                </c:pt>
                <c:pt idx="2">
                  <c:v>6.3898949363507782</c:v>
                </c:pt>
                <c:pt idx="3">
                  <c:v>7.2563624045261674</c:v>
                </c:pt>
                <c:pt idx="4">
                  <c:v>8.1228298727015549</c:v>
                </c:pt>
                <c:pt idx="5">
                  <c:v>8.989297340876945</c:v>
                </c:pt>
                <c:pt idx="6">
                  <c:v>9.8557648090523351</c:v>
                </c:pt>
                <c:pt idx="7">
                  <c:v>10.722232277227723</c:v>
                </c:pt>
                <c:pt idx="8">
                  <c:v>11.588699745403112</c:v>
                </c:pt>
                <c:pt idx="9">
                  <c:v>12.455167213578502</c:v>
                </c:pt>
                <c:pt idx="10">
                  <c:v>13.32163468175389</c:v>
                </c:pt>
                <c:pt idx="11">
                  <c:v>14.188102149929279</c:v>
                </c:pt>
                <c:pt idx="12">
                  <c:v>15.054569618104669</c:v>
                </c:pt>
                <c:pt idx="13">
                  <c:v>15.921037086280057</c:v>
                </c:pt>
                <c:pt idx="14">
                  <c:v>16.787504554455445</c:v>
                </c:pt>
                <c:pt idx="15">
                  <c:v>17.653972022630835</c:v>
                </c:pt>
                <c:pt idx="16">
                  <c:v>18.520439490806226</c:v>
                </c:pt>
                <c:pt idx="17">
                  <c:v>19.386906958981616</c:v>
                </c:pt>
                <c:pt idx="18">
                  <c:v>20.253374427157002</c:v>
                </c:pt>
                <c:pt idx="19">
                  <c:v>21.119841895332392</c:v>
                </c:pt>
                <c:pt idx="20">
                  <c:v>21.986309363507782</c:v>
                </c:pt>
                <c:pt idx="21">
                  <c:v>22.852776831683173</c:v>
                </c:pt>
                <c:pt idx="22">
                  <c:v>23.719244299858559</c:v>
                </c:pt>
                <c:pt idx="23">
                  <c:v>24.091561859658956</c:v>
                </c:pt>
                <c:pt idx="24">
                  <c:v>23.413818447436697</c:v>
                </c:pt>
                <c:pt idx="25">
                  <c:v>22.786002298333639</c:v>
                </c:pt>
                <c:pt idx="26">
                  <c:v>22.2004579326331</c:v>
                </c:pt>
                <c:pt idx="27">
                  <c:v>21.650895545128975</c:v>
                </c:pt>
                <c:pt idx="28">
                  <c:v>21.132113077326022</c:v>
                </c:pt>
                <c:pt idx="29">
                  <c:v>20.639781581530446</c:v>
                </c:pt>
                <c:pt idx="30">
                  <c:v>20.170278003164189</c:v>
                </c:pt>
                <c:pt idx="31">
                  <c:v>19.720553836224028</c:v>
                </c:pt>
                <c:pt idx="32">
                  <c:v>19.288031165268684</c:v>
                </c:pt>
                <c:pt idx="33">
                  <c:v>18.870519793295188</c:v>
                </c:pt>
                <c:pt idx="34">
                  <c:v>18.466150734105035</c:v>
                </c:pt>
                <c:pt idx="35">
                  <c:v>18.07332250019245</c:v>
                </c:pt>
                <c:pt idx="36">
                  <c:v>17.690657466132386</c:v>
                </c:pt>
                <c:pt idx="37">
                  <c:v>17.316966218400626</c:v>
                </c:pt>
                <c:pt idx="38">
                  <c:v>16.951218275434702</c:v>
                </c:pt>
                <c:pt idx="39">
                  <c:v>16.592517918956197</c:v>
                </c:pt>
                <c:pt idx="40">
                  <c:v>16.240084149433432</c:v>
                </c:pt>
                <c:pt idx="41">
                  <c:v>15.893233986931847</c:v>
                </c:pt>
                <c:pt idx="42">
                  <c:v>15.551368499377837</c:v>
                </c:pt>
                <c:pt idx="43">
                  <c:v>15.213961065111819</c:v>
                </c:pt>
                <c:pt idx="44">
                  <c:v>14.880547474145413</c:v>
                </c:pt>
                <c:pt idx="45">
                  <c:v>14.550717549179694</c:v>
                </c:pt>
                <c:pt idx="46">
                  <c:v>14.224108027995554</c:v>
                </c:pt>
                <c:pt idx="47">
                  <c:v>13.900396496921513</c:v>
                </c:pt>
                <c:pt idx="48">
                  <c:v>13.579296203474238</c:v>
                </c:pt>
                <c:pt idx="49">
                  <c:v>13.260551607057772</c:v>
                </c:pt>
                <c:pt idx="50">
                  <c:v>12.943934551416595</c:v>
                </c:pt>
                <c:pt idx="51">
                  <c:v>12.62924096261513</c:v>
                </c:pt>
                <c:pt idx="52">
                  <c:v>12.316287992633184</c:v>
                </c:pt>
                <c:pt idx="53">
                  <c:v>12.004911541980864</c:v>
                </c:pt>
                <c:pt idx="54">
                  <c:v>11.694964105643027</c:v>
                </c:pt>
                <c:pt idx="55">
                  <c:v>11.386312895630507</c:v>
                </c:pt>
                <c:pt idx="56">
                  <c:v>11.078838200814944</c:v>
                </c:pt>
                <c:pt idx="57">
                  <c:v>10.772431950851148</c:v>
                </c:pt>
                <c:pt idx="58">
                  <c:v>10.466996456080885</c:v>
                </c:pt>
                <c:pt idx="59">
                  <c:v>10.162443299554663</c:v>
                </c:pt>
                <c:pt idx="60">
                  <c:v>9.8586923608546702</c:v>
                </c:pt>
                <c:pt idx="61">
                  <c:v>9.5556709543762963</c:v>
                </c:pt>
                <c:pt idx="62">
                  <c:v>9.2533130672266619</c:v>
                </c:pt>
                <c:pt idx="63">
                  <c:v>8.951558684007848</c:v>
                </c:pt>
                <c:pt idx="64">
                  <c:v>8.6503531875359236</c:v>
                </c:pt>
                <c:pt idx="65">
                  <c:v>8.3496468260589758</c:v>
                </c:pt>
                <c:pt idx="66">
                  <c:v>8.0493942388223108</c:v>
                </c:pt>
                <c:pt idx="67">
                  <c:v>7.749554032924129</c:v>
                </c:pt>
                <c:pt idx="68">
                  <c:v>7.4500884053398124</c:v>
                </c:pt>
                <c:pt idx="69">
                  <c:v>7.1509628047936316</c:v>
                </c:pt>
                <c:pt idx="70">
                  <c:v>6.8521456288432132</c:v>
                </c:pt>
                <c:pt idx="71">
                  <c:v>6.553607952132583</c:v>
                </c:pt>
                <c:pt idx="72">
                  <c:v>6.2553232822781997</c:v>
                </c:pt>
                <c:pt idx="73">
                  <c:v>5.957267340291561</c:v>
                </c:pt>
                <c:pt idx="74">
                  <c:v>5.6594178628217984</c:v>
                </c:pt>
                <c:pt idx="75">
                  <c:v>5.3617544238309129</c:v>
                </c:pt>
                <c:pt idx="76">
                  <c:v>5.0642582736001334</c:v>
                </c:pt>
                <c:pt idx="77">
                  <c:v>4.7669121932146137</c:v>
                </c:pt>
                <c:pt idx="78">
                  <c:v>4.4697003628903111</c:v>
                </c:pt>
                <c:pt idx="79">
                  <c:v>4.1726082426960689</c:v>
                </c:pt>
                <c:pt idx="80">
                  <c:v>3.8756224643893966</c:v>
                </c:pt>
                <c:pt idx="81">
                  <c:v>3.5787307332292029</c:v>
                </c:pt>
                <c:pt idx="82">
                  <c:v>3.2819217387558672</c:v>
                </c:pt>
                <c:pt idx="83">
                  <c:v>2.9851850736407135</c:v>
                </c:pt>
                <c:pt idx="84">
                  <c:v>2.6885111598050941</c:v>
                </c:pt>
                <c:pt idx="85">
                  <c:v>2.3918911810959633</c:v>
                </c:pt>
                <c:pt idx="86">
                  <c:v>2.0953170218811326</c:v>
                </c:pt>
                <c:pt idx="87">
                  <c:v>1.7987812109949697</c:v>
                </c:pt>
                <c:pt idx="88">
                  <c:v>1.5022768705249743</c:v>
                </c:pt>
                <c:pt idx="89">
                  <c:v>1.2057976689827021</c:v>
                </c:pt>
                <c:pt idx="90">
                  <c:v>0.90933777844933894</c:v>
                </c:pt>
                <c:pt idx="91">
                  <c:v>0.61289183532807279</c:v>
                </c:pt>
                <c:pt idx="92">
                  <c:v>0.3164549043724621</c:v>
                </c:pt>
                <c:pt idx="93">
                  <c:v>2.002244569306463E-2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UI!$AP$2</c:f>
              <c:strCache>
                <c:ptCount val="1"/>
                <c:pt idx="0">
                  <c:v>LDO-42STH47-2504AC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UI!$AP$3:$AP$102</c:f>
              <c:numCache>
                <c:formatCode>0.0</c:formatCode>
                <c:ptCount val="100"/>
                <c:pt idx="0">
                  <c:v>7.8125</c:v>
                </c:pt>
                <c:pt idx="1">
                  <c:v>9.010002475247525</c:v>
                </c:pt>
                <c:pt idx="2">
                  <c:v>10.20750495049505</c:v>
                </c:pt>
                <c:pt idx="3">
                  <c:v>11.405007425742575</c:v>
                </c:pt>
                <c:pt idx="4">
                  <c:v>12.6025099009901</c:v>
                </c:pt>
                <c:pt idx="5">
                  <c:v>13.800012376237625</c:v>
                </c:pt>
                <c:pt idx="6">
                  <c:v>14.99751485148515</c:v>
                </c:pt>
                <c:pt idx="7">
                  <c:v>16.195017326732675</c:v>
                </c:pt>
                <c:pt idx="8">
                  <c:v>17.3925198019802</c:v>
                </c:pt>
                <c:pt idx="9">
                  <c:v>18.590022277227725</c:v>
                </c:pt>
                <c:pt idx="10">
                  <c:v>19.78752475247525</c:v>
                </c:pt>
                <c:pt idx="11">
                  <c:v>20.985027227722775</c:v>
                </c:pt>
                <c:pt idx="12">
                  <c:v>22.182529702970299</c:v>
                </c:pt>
                <c:pt idx="13">
                  <c:v>23.380032178217824</c:v>
                </c:pt>
                <c:pt idx="14">
                  <c:v>24.577534653465349</c:v>
                </c:pt>
                <c:pt idx="15">
                  <c:v>25.775037128712874</c:v>
                </c:pt>
                <c:pt idx="16">
                  <c:v>26.972539603960399</c:v>
                </c:pt>
                <c:pt idx="17">
                  <c:v>28.170042079207924</c:v>
                </c:pt>
                <c:pt idx="18">
                  <c:v>29.367544554455449</c:v>
                </c:pt>
                <c:pt idx="19">
                  <c:v>30.565047029702974</c:v>
                </c:pt>
                <c:pt idx="20">
                  <c:v>31.762549504950499</c:v>
                </c:pt>
                <c:pt idx="21">
                  <c:v>32.960051980198024</c:v>
                </c:pt>
                <c:pt idx="22">
                  <c:v>34.157554455445549</c:v>
                </c:pt>
                <c:pt idx="23">
                  <c:v>35.355056930693074</c:v>
                </c:pt>
                <c:pt idx="24">
                  <c:v>36.552559405940599</c:v>
                </c:pt>
                <c:pt idx="25">
                  <c:v>37.750061881188124</c:v>
                </c:pt>
                <c:pt idx="26">
                  <c:v>38.947564356435649</c:v>
                </c:pt>
                <c:pt idx="27">
                  <c:v>40.145066831683174</c:v>
                </c:pt>
                <c:pt idx="28">
                  <c:v>41.342569306930699</c:v>
                </c:pt>
                <c:pt idx="29">
                  <c:v>42.540071782178224</c:v>
                </c:pt>
                <c:pt idx="30">
                  <c:v>43.737574257425749</c:v>
                </c:pt>
                <c:pt idx="31">
                  <c:v>44.935076732673274</c:v>
                </c:pt>
                <c:pt idx="32">
                  <c:v>46.132579207920799</c:v>
                </c:pt>
                <c:pt idx="33">
                  <c:v>47.330081683168324</c:v>
                </c:pt>
                <c:pt idx="34">
                  <c:v>48.527584158415848</c:v>
                </c:pt>
                <c:pt idx="35">
                  <c:v>49.725086633663373</c:v>
                </c:pt>
                <c:pt idx="36">
                  <c:v>50.922589108910898</c:v>
                </c:pt>
                <c:pt idx="37">
                  <c:v>52.120091584158423</c:v>
                </c:pt>
                <c:pt idx="38">
                  <c:v>52.936940444472903</c:v>
                </c:pt>
                <c:pt idx="39">
                  <c:v>51.743089174470846</c:v>
                </c:pt>
                <c:pt idx="40">
                  <c:v>50.58806470246877</c:v>
                </c:pt>
                <c:pt idx="41">
                  <c:v>49.467906535114146</c:v>
                </c:pt>
                <c:pt idx="42">
                  <c:v>48.379113147730799</c:v>
                </c:pt>
                <c:pt idx="43">
                  <c:v>47.31858144284729</c:v>
                </c:pt>
                <c:pt idx="44">
                  <c:v>46.283555184875105</c:v>
                </c:pt>
                <c:pt idx="45">
                  <c:v>45.271580934963701</c:v>
                </c:pt>
                <c:pt idx="46">
                  <c:v>44.280470276061102</c:v>
                </c:pt>
                <c:pt idx="47">
                  <c:v>43.308267332191377</c:v>
                </c:pt>
                <c:pt idx="48">
                  <c:v>42.353220758871373</c:v>
                </c:pt>
                <c:pt idx="49">
                  <c:v>41.413759521911381</c:v>
                </c:pt>
                <c:pt idx="50">
                  <c:v>40.488471896191278</c:v>
                </c:pt>
                <c:pt idx="51">
                  <c:v>39.576087209551183</c:v>
                </c:pt>
                <c:pt idx="52">
                  <c:v>38.675459933760131</c:v>
                </c:pt>
                <c:pt idx="53">
                  <c:v>37.785555787846938</c:v>
                </c:pt>
                <c:pt idx="54">
                  <c:v>36.90543957145259</c:v>
                </c:pt>
                <c:pt idx="55">
                  <c:v>36.034264489331676</c:v>
                </c:pt>
                <c:pt idx="56">
                  <c:v>35.171262764324815</c:v>
                </c:pt>
                <c:pt idx="57">
                  <c:v>34.31573736635643</c:v>
                </c:pt>
                <c:pt idx="58">
                  <c:v>33.467054710341841</c:v>
                </c:pt>
                <c:pt idx="59">
                  <c:v>32.624638197171627</c:v>
                </c:pt>
                <c:pt idx="60">
                  <c:v>31.787962489877199</c:v>
                </c:pt>
                <c:pt idx="61">
                  <c:v>30.956548432236296</c:v>
                </c:pt>
                <c:pt idx="62">
                  <c:v>30.129958529917719</c:v>
                </c:pt>
                <c:pt idx="63">
                  <c:v>29.307792925170652</c:v>
                </c:pt>
                <c:pt idx="64">
                  <c:v>28.489685805351158</c:v>
                </c:pt>
                <c:pt idx="65">
                  <c:v>27.675302193505438</c:v>
                </c:pt>
                <c:pt idx="66">
                  <c:v>26.864335076011805</c:v>
                </c:pt>
                <c:pt idx="67">
                  <c:v>26.056502828098917</c:v>
                </c:pt>
                <c:pt idx="68">
                  <c:v>25.251546903055651</c:v>
                </c:pt>
                <c:pt idx="69">
                  <c:v>24.449229755252802</c:v>
                </c:pt>
                <c:pt idx="70">
                  <c:v>23.649332970810899</c:v>
                </c:pt>
                <c:pt idx="71">
                  <c:v>22.851655582960969</c:v>
                </c:pt>
                <c:pt idx="72">
                  <c:v>22.056012551928049</c:v>
                </c:pt>
                <c:pt idx="73">
                  <c:v>21.262233391583429</c:v>
                </c:pt>
                <c:pt idx="74">
                  <c:v>20.470160927212305</c:v>
                </c:pt>
                <c:pt idx="75">
                  <c:v>19.679650170574607</c:v>
                </c:pt>
                <c:pt idx="76">
                  <c:v>18.890567300033926</c:v>
                </c:pt>
                <c:pt idx="77">
                  <c:v>18.10278873492658</c:v>
                </c:pt>
                <c:pt idx="78">
                  <c:v>17.316200294565775</c:v>
                </c:pt>
                <c:pt idx="79">
                  <c:v>16.530696433348659</c:v>
                </c:pt>
                <c:pt idx="80">
                  <c:v>15.746179544376679</c:v>
                </c:pt>
                <c:pt idx="81">
                  <c:v>14.962559324828673</c:v>
                </c:pt>
                <c:pt idx="82">
                  <c:v>14.179752197056951</c:v>
                </c:pt>
                <c:pt idx="83">
                  <c:v>13.397680780021307</c:v>
                </c:pt>
                <c:pt idx="84">
                  <c:v>12.61627340624581</c:v>
                </c:pt>
                <c:pt idx="85">
                  <c:v>11.835463679987317</c:v>
                </c:pt>
                <c:pt idx="86">
                  <c:v>11.055190072751534</c:v>
                </c:pt>
                <c:pt idx="87">
                  <c:v>10.275395552688959</c:v>
                </c:pt>
                <c:pt idx="88">
                  <c:v>9.496027244755112</c:v>
                </c:pt>
                <c:pt idx="89">
                  <c:v>8.7170361188329952</c:v>
                </c:pt>
                <c:pt idx="90">
                  <c:v>7.9383767032946482</c:v>
                </c:pt>
                <c:pt idx="91">
                  <c:v>7.1600068217276158</c:v>
                </c:pt>
                <c:pt idx="92">
                  <c:v>6.3818873507743064</c:v>
                </c:pt>
                <c:pt idx="93">
                  <c:v>5.6039819972308296</c:v>
                </c:pt>
                <c:pt idx="94">
                  <c:v>4.8262570927296222</c:v>
                </c:pt>
                <c:pt idx="95">
                  <c:v>4.0486814044893702</c:v>
                </c:pt>
                <c:pt idx="96">
                  <c:v>3.2712259607584855</c:v>
                </c:pt>
                <c:pt idx="97">
                  <c:v>2.4938638897066396</c:v>
                </c:pt>
                <c:pt idx="98">
                  <c:v>1.716570270633937</c:v>
                </c:pt>
                <c:pt idx="99">
                  <c:v>0.93932199647103876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UI!$AQ$2</c:f>
              <c:strCache>
                <c:ptCount val="1"/>
                <c:pt idx="0">
                  <c:v>LDO-42STH60-2004AH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UI!$AQ$3:$AQ$102</c:f>
              <c:numCache>
                <c:formatCode>0.0</c:formatCode>
                <c:ptCount val="100"/>
                <c:pt idx="0">
                  <c:v>8</c:v>
                </c:pt>
                <c:pt idx="1">
                  <c:v>9.8440205091937774</c:v>
                </c:pt>
                <c:pt idx="2">
                  <c:v>11.688041018387553</c:v>
                </c:pt>
                <c:pt idx="3">
                  <c:v>13.53206152758133</c:v>
                </c:pt>
                <c:pt idx="4">
                  <c:v>15.376082036775106</c:v>
                </c:pt>
                <c:pt idx="5">
                  <c:v>17.220102545968885</c:v>
                </c:pt>
                <c:pt idx="6">
                  <c:v>19.064123055162661</c:v>
                </c:pt>
                <c:pt idx="7">
                  <c:v>20.908143564356436</c:v>
                </c:pt>
                <c:pt idx="8">
                  <c:v>22.752164073550212</c:v>
                </c:pt>
                <c:pt idx="9">
                  <c:v>24.596184582743991</c:v>
                </c:pt>
                <c:pt idx="10">
                  <c:v>26.440205091937766</c:v>
                </c:pt>
                <c:pt idx="11">
                  <c:v>28.284225601131546</c:v>
                </c:pt>
                <c:pt idx="12">
                  <c:v>30.128246110325321</c:v>
                </c:pt>
                <c:pt idx="13">
                  <c:v>31.972266619519097</c:v>
                </c:pt>
                <c:pt idx="14">
                  <c:v>33.816287128712872</c:v>
                </c:pt>
                <c:pt idx="15">
                  <c:v>35.660307637906655</c:v>
                </c:pt>
                <c:pt idx="16">
                  <c:v>37.504328147100424</c:v>
                </c:pt>
                <c:pt idx="17">
                  <c:v>39.348348656294206</c:v>
                </c:pt>
                <c:pt idx="18">
                  <c:v>41.192369165487982</c:v>
                </c:pt>
                <c:pt idx="19">
                  <c:v>43.036389674681757</c:v>
                </c:pt>
                <c:pt idx="20">
                  <c:v>44.880410183875533</c:v>
                </c:pt>
                <c:pt idx="21">
                  <c:v>46.724430693069309</c:v>
                </c:pt>
                <c:pt idx="22">
                  <c:v>48.568451202263091</c:v>
                </c:pt>
                <c:pt idx="23">
                  <c:v>48.220648315747347</c:v>
                </c:pt>
                <c:pt idx="24">
                  <c:v>46.065520979476673</c:v>
                </c:pt>
                <c:pt idx="25">
                  <c:v>44.009598974609169</c:v>
                </c:pt>
                <c:pt idx="26">
                  <c:v>42.036747638615964</c:v>
                </c:pt>
                <c:pt idx="27">
                  <c:v>40.133697251798125</c:v>
                </c:pt>
                <c:pt idx="28">
                  <c:v>38.289475814737266</c:v>
                </c:pt>
                <c:pt idx="29">
                  <c:v>36.494966219412703</c:v>
                </c:pt>
                <c:pt idx="30">
                  <c:v>34.742557919584058</c:v>
                </c:pt>
                <c:pt idx="31">
                  <c:v>33.025870997883196</c:v>
                </c:pt>
                <c:pt idx="32">
                  <c:v>31.339536136079609</c:v>
                </c:pt>
                <c:pt idx="33">
                  <c:v>29.679018073356819</c:v>
                </c:pt>
                <c:pt idx="34">
                  <c:v>28.040473130890334</c:v>
                </c:pt>
                <c:pt idx="35">
                  <c:v>26.420633597675604</c:v>
                </c:pt>
                <c:pt idx="36">
                  <c:v>24.8167134277241</c:v>
                </c:pt>
                <c:pt idx="37">
                  <c:v>23.226330944408403</c:v>
                </c:pt>
                <c:pt idx="38">
                  <c:v>21.647445192196816</c:v>
                </c:pt>
                <c:pt idx="39">
                  <c:v>20.078303297160616</c:v>
                </c:pt>
                <c:pt idx="40">
                  <c:v>18.517396751945029</c:v>
                </c:pt>
                <c:pt idx="41">
                  <c:v>16.963424969670807</c:v>
                </c:pt>
                <c:pt idx="42">
                  <c:v>15.415264784903927</c:v>
                </c:pt>
                <c:pt idx="43">
                  <c:v>13.871944840981248</c:v>
                </c:pt>
                <c:pt idx="44">
                  <c:v>12.332624008489059</c:v>
                </c:pt>
                <c:pt idx="45">
                  <c:v>10.796573142254992</c:v>
                </c:pt>
                <c:pt idx="46">
                  <c:v>9.2631596134478826</c:v>
                </c:pt>
                <c:pt idx="47">
                  <c:v>7.7318341566046422</c:v>
                </c:pt>
                <c:pt idx="48">
                  <c:v>6.2021196542278378</c:v>
                </c:pt>
                <c:pt idx="49">
                  <c:v>4.6736015483439424</c:v>
                </c:pt>
                <c:pt idx="50">
                  <c:v>3.1459196224237886</c:v>
                </c:pt>
                <c:pt idx="51">
                  <c:v>1.618760940950122</c:v>
                </c:pt>
                <c:pt idx="52">
                  <c:v>9.1853769706028404E-2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UI!$AR$2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UI!$AR$3:$AR$102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UI!$AS$2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UI!$AS$3:$AS$102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UI!$AT$2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UI!$AT$3:$AT$102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UI!$AU$2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UI!$AU$3:$AU$102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UI!$AV$2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UI!$AV$3:$AV$102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UI!$AW$2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UI!$AW$3:$AW$102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UI!$AX$2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UI!$AX$3:$AX$102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UI!$AY$2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UI!$AZ$2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6ACEFB-270A-B24D-9E46-60D1F83B91DA}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225CC-E82A-784A-89C1-7CBC95767CF5}">
  <sheetPr codeName="Chart2"/>
  <sheetViews>
    <sheetView zoomScale="156" workbookViewId="0" zoomToFit="1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47474B-AA51-934C-AFBD-4898F507CB7F}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04ACC5-44CF-EE45-84D3-3047C073259B}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754062</xdr:colOff>
      <xdr:row>0</xdr:row>
      <xdr:rowOff>0</xdr:rowOff>
    </xdr:from>
    <xdr:to>
      <xdr:col>21</xdr:col>
      <xdr:colOff>198438</xdr:colOff>
      <xdr:row>33</xdr:row>
      <xdr:rowOff>174625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40460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cdn.shopify.com/s/files/1/0239/9287/files/LDO-42STH38-1684MAC_TIM_RevA.pdf?175" TargetMode="External"/><Relationship Id="rId13" Type="http://schemas.openxmlformats.org/officeDocument/2006/relationships/hyperlink" Target="https://cdn.shopify.com/s/files/1/0887/0138/files/HT_LDO-42STH40-2004MAH_VRN_RevA.pdf?v=1603743058" TargetMode="External"/><Relationship Id="rId18" Type="http://schemas.openxmlformats.org/officeDocument/2006/relationships/hyperlink" Target="https://www.omc-stepperonline.com/download/17HS13-0404S1.pdf" TargetMode="External"/><Relationship Id="rId3" Type="http://schemas.openxmlformats.org/officeDocument/2006/relationships/hyperlink" Target="https://www.omc-stepperonline.com/download/17HM19-2004S.pdf" TargetMode="External"/><Relationship Id="rId21" Type="http://schemas.openxmlformats.org/officeDocument/2006/relationships/hyperlink" Target="https://www.omc-stepperonline.com/download/14HS13-0804S.pdf" TargetMode="External"/><Relationship Id="rId7" Type="http://schemas.openxmlformats.org/officeDocument/2006/relationships/hyperlink" Target="https://cdn.shopify.com/s/files/1/0239/9287/files/LDO-42STH60-2004AH_51147be9-9853-4b4e-b6fd-36fb104d4b4d.pdf?v=1586025853" TargetMode="External"/><Relationship Id="rId12" Type="http://schemas.openxmlformats.org/officeDocument/2006/relationships/hyperlink" Target="https://www.moonsindustries.com/p/nema-17-high-precision-hybrid-stepper-motors/ms17ha2p4200-000004611110015919" TargetMode="External"/><Relationship Id="rId17" Type="http://schemas.openxmlformats.org/officeDocument/2006/relationships/hyperlink" Target="https://www.moonsindustries.com/p/nema-14-high-precision-hybrid-stepper-motors/ms14ha3p4150-000004611110015351" TargetMode="External"/><Relationship Id="rId2" Type="http://schemas.openxmlformats.org/officeDocument/2006/relationships/hyperlink" Target="https://www.omc-stepperonline.com/download/17HS16-2004S1.pdf" TargetMode="External"/><Relationship Id="rId16" Type="http://schemas.openxmlformats.org/officeDocument/2006/relationships/hyperlink" Target="https://www.omc-stepperonline.com/download/14HS20-1504S.pdf" TargetMode="External"/><Relationship Id="rId20" Type="http://schemas.openxmlformats.org/officeDocument/2006/relationships/hyperlink" Target="https://www.moonsindustries.com/p/nema-17-standard-hybrid-stepper-motors/ms17hdbp4100-000004611110008906" TargetMode="External"/><Relationship Id="rId1" Type="http://schemas.openxmlformats.org/officeDocument/2006/relationships/hyperlink" Target="https://www.omc-stepperonline.com/download/17HS19-2004S1.pdf" TargetMode="External"/><Relationship Id="rId6" Type="http://schemas.openxmlformats.org/officeDocument/2006/relationships/hyperlink" Target="https://cdn.shopify.com/s/files/1/0239/9287/files/LDO-42STH48-1684MAH_RevA.pdf?v=1586025853" TargetMode="External"/><Relationship Id="rId11" Type="http://schemas.openxmlformats.org/officeDocument/2006/relationships/hyperlink" Target="https://en.nanotec.com/fileadmin/files/Datenblaetter/Schrittmotoren/ST4209/L/ST4209L1704-A.pdf" TargetMode="External"/><Relationship Id="rId5" Type="http://schemas.openxmlformats.org/officeDocument/2006/relationships/hyperlink" Target="https://cdn.shopify.com/s/files/1/0239/9287/files/LDO-42STH47-1684AC_TIM_RevA.pdf?173" TargetMode="External"/><Relationship Id="rId15" Type="http://schemas.openxmlformats.org/officeDocument/2006/relationships/hyperlink" Target="https://www.omc-stepperonline.com/download/14HS17-0504S.pdf" TargetMode="External"/><Relationship Id="rId23" Type="http://schemas.openxmlformats.org/officeDocument/2006/relationships/hyperlink" Target="https://cdn.shopify.com/s/files/1/0239/9287/files/LDO-42STH40-1004MAH_RevA.pdf?v=1586025853" TargetMode="External"/><Relationship Id="rId10" Type="http://schemas.openxmlformats.org/officeDocument/2006/relationships/hyperlink" Target="https://cdn.shopify.com/s/files/1/0887/0138/files/LDO-42STH48-2004ACVRN-RevA.pdf?v=1595616528" TargetMode="External"/><Relationship Id="rId19" Type="http://schemas.openxmlformats.org/officeDocument/2006/relationships/hyperlink" Target="https://www.moonsindustries.com/p/nema-14-high-precision-hybrid-stepper-motors/ms14ha1p4150-000004611110015347" TargetMode="External"/><Relationship Id="rId4" Type="http://schemas.openxmlformats.org/officeDocument/2006/relationships/hyperlink" Target="https://www.omc-stepperonline.com/download/17HM19-1684S.pdf" TargetMode="External"/><Relationship Id="rId9" Type="http://schemas.openxmlformats.org/officeDocument/2006/relationships/hyperlink" Target="https://cdn.shopify.com/s/files/1/0239/9287/files/LDO-42STH60-2004MAC_RC_RevB.pdf?v=1585856919" TargetMode="External"/><Relationship Id="rId14" Type="http://schemas.openxmlformats.org/officeDocument/2006/relationships/hyperlink" Target="https://e3d-online.dozuki.com/Document/osnGcCIVUaHhhmwr/High_Torque_Axes_Datasheet.pdf" TargetMode="External"/><Relationship Id="rId22" Type="http://schemas.openxmlformats.org/officeDocument/2006/relationships/hyperlink" Target="https://www.moonsindustries.com/p/nema-17-high-precision-hybrid-stepper-motors/ms17ha2p4150-00000461111001591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8571-1DC6-EC47-9AF9-CF8A3D010942}">
  <sheetPr codeName="Sheet1"/>
  <dimension ref="A1:BA168"/>
  <sheetViews>
    <sheetView tabSelected="1" zoomScale="120" zoomScaleNormal="120" workbookViewId="0">
      <selection activeCell="C15" sqref="C15"/>
    </sheetView>
  </sheetViews>
  <sheetFormatPr defaultColWidth="11.42578125" defaultRowHeight="15" x14ac:dyDescent="0.25"/>
  <cols>
    <col min="2" max="2" width="14.85546875" bestFit="1" customWidth="1"/>
    <col min="3" max="3" width="12.140625" customWidth="1"/>
    <col min="7" max="7" width="12" bestFit="1" customWidth="1"/>
    <col min="18" max="52" width="5" customWidth="1"/>
  </cols>
  <sheetData>
    <row r="1" spans="2:53" x14ac:dyDescent="0.25">
      <c r="R1" t="str">
        <f>CONCATENATE("Stepper Torque, ",F2)</f>
        <v>Stepper Torque, 48V, 20T, 90k, 500g</v>
      </c>
      <c r="AJ1" t="str">
        <f>CONCATENATE("Stepper Power, ",F2)</f>
        <v>Stepper Power, 48V, 20T, 90k, 500g</v>
      </c>
    </row>
    <row r="2" spans="2:53" ht="127.5" x14ac:dyDescent="0.25">
      <c r="B2" s="1" t="s">
        <v>3</v>
      </c>
      <c r="C2">
        <v>48</v>
      </c>
      <c r="D2" t="s">
        <v>62</v>
      </c>
      <c r="F2" t="str">
        <f>CONCATENATE(C2, "V, ", C6, "T, ",C9/1000,"k, ", C10, "g")</f>
        <v>48V, 20T, 90k, 500g</v>
      </c>
      <c r="Q2" t="s">
        <v>1</v>
      </c>
      <c r="R2" s="3" t="str">
        <f>C23</f>
        <v>OMC-17HS19-2004S1</v>
      </c>
      <c r="S2" s="3" t="str">
        <f>C24</f>
        <v>OMC-17HM19-2004S</v>
      </c>
      <c r="T2" s="3" t="str">
        <f>C25</f>
        <v>LDO-42STH48-2004AC (VRN)</v>
      </c>
      <c r="U2" s="3" t="str">
        <f>C26</f>
        <v>LDO-42STH40-2004MAH(VRN)</v>
      </c>
      <c r="V2" s="3" t="str">
        <f>C27</f>
        <v>LDO-42STH48-1684MAH</v>
      </c>
      <c r="W2" s="3" t="str">
        <f>C28</f>
        <v>LDO-42STH47-2504AC</v>
      </c>
      <c r="X2" s="3" t="str">
        <f>C29</f>
        <v>LDO-42STH60-2004AH</v>
      </c>
      <c r="Y2" s="3">
        <f>C30</f>
        <v>0</v>
      </c>
      <c r="Z2" s="3">
        <f>C31</f>
        <v>0</v>
      </c>
      <c r="AA2" s="3">
        <f>C32</f>
        <v>0</v>
      </c>
      <c r="AB2" s="3">
        <f>C33</f>
        <v>0</v>
      </c>
      <c r="AC2" s="3">
        <f>C34</f>
        <v>0</v>
      </c>
      <c r="AD2" s="3">
        <f>C35</f>
        <v>0</v>
      </c>
      <c r="AE2" s="3">
        <f>C36</f>
        <v>0</v>
      </c>
      <c r="AF2" s="3">
        <f>C37</f>
        <v>0</v>
      </c>
      <c r="AG2" s="3">
        <f>C38</f>
        <v>0</v>
      </c>
      <c r="AH2" s="3" t="s">
        <v>69</v>
      </c>
      <c r="AJ2" t="str">
        <f>Q2</f>
        <v>mm/s</v>
      </c>
      <c r="AK2" s="3" t="str">
        <f t="shared" ref="AK2:AZ2" si="0">R2</f>
        <v>OMC-17HS19-2004S1</v>
      </c>
      <c r="AL2" s="3" t="str">
        <f t="shared" si="0"/>
        <v>OMC-17HM19-2004S</v>
      </c>
      <c r="AM2" s="3" t="str">
        <f t="shared" si="0"/>
        <v>LDO-42STH48-2004AC (VRN)</v>
      </c>
      <c r="AN2" s="3" t="str">
        <f t="shared" si="0"/>
        <v>LDO-42STH40-2004MAH(VRN)</v>
      </c>
      <c r="AO2" s="3" t="str">
        <f t="shared" si="0"/>
        <v>LDO-42STH48-1684MAH</v>
      </c>
      <c r="AP2" s="3" t="str">
        <f t="shared" si="0"/>
        <v>LDO-42STH47-2504AC</v>
      </c>
      <c r="AQ2" s="3" t="str">
        <f t="shared" si="0"/>
        <v>LDO-42STH60-2004AH</v>
      </c>
      <c r="AR2" s="3">
        <f t="shared" si="0"/>
        <v>0</v>
      </c>
      <c r="AS2" s="3">
        <f t="shared" si="0"/>
        <v>0</v>
      </c>
      <c r="AT2" s="3">
        <f t="shared" si="0"/>
        <v>0</v>
      </c>
      <c r="AU2" s="3">
        <f t="shared" si="0"/>
        <v>0</v>
      </c>
      <c r="AV2" s="3">
        <f t="shared" si="0"/>
        <v>0</v>
      </c>
      <c r="AW2" s="3">
        <f t="shared" si="0"/>
        <v>0</v>
      </c>
      <c r="AX2" s="3">
        <f t="shared" si="0"/>
        <v>0</v>
      </c>
      <c r="AY2" s="3">
        <f t="shared" si="0"/>
        <v>0</v>
      </c>
      <c r="AZ2" s="3">
        <f t="shared" si="0"/>
        <v>0</v>
      </c>
    </row>
    <row r="3" spans="2:53" x14ac:dyDescent="0.25">
      <c r="B3" s="1" t="s">
        <v>60</v>
      </c>
      <c r="C3">
        <v>2.5</v>
      </c>
      <c r="D3" t="s">
        <v>61</v>
      </c>
      <c r="P3">
        <v>0</v>
      </c>
      <c r="Q3">
        <f>P3*$C$6*2/$C$7</f>
        <v>0</v>
      </c>
      <c r="R3" s="7">
        <f t="shared" ref="R3:R34" si="1">SingleCoilTorque($F$23,$G$23,$H$23,$I$23,$J$23,$K$23,$C$2,$M$23,$P3)-$N$23</f>
        <v>30.133124239795386</v>
      </c>
      <c r="S3" s="7">
        <f t="shared" ref="S3:S34" si="2">SingleCoilTorque($F$24,$G$24,$H$24,$I$24,$J$24,$K$24,$C$2,$M$24,$P3)-$N$24</f>
        <v>20.939347719286189</v>
      </c>
      <c r="T3" s="7">
        <f t="shared" ref="T3:T34" si="3">SingleCoilTorque($F$25,$G$25,$H$25,$I$25,$J$25,$K$25,$C$2,$M$25,$P3)-$N$25</f>
        <v>29.001795653060057</v>
      </c>
      <c r="U3" s="7">
        <f t="shared" ref="U3:U34" si="4">SingleCoilTorque($F$26,$G$26,$H$26,$I$26,$J$26,$K$26,$C$2,$M$26,$P3)-$N$26</f>
        <v>14.715086719305365</v>
      </c>
      <c r="V3" s="7">
        <f t="shared" ref="V3:V34" si="5">SingleCoilTorque($F$27,$G$27,$H$27,$I$27,$J$27,$K$27,$C$2,$M$27,$P3)-$N$27</f>
        <v>17.968056041542809</v>
      </c>
      <c r="W3" s="7">
        <f t="shared" ref="W3:W34" si="6">SingleCoilTorque($F$28,$G$28,$H$28,$I$28,$J$28,$K$28,$C$2,$M$28,$P3)-$N$28</f>
        <v>28.505538361203357</v>
      </c>
      <c r="X3" s="7">
        <f t="shared" ref="X3:X34" si="7">SingleCoilTorque($F$29,$G$29,$H$29,$I$29,$J$29,$K$29,$C$2,$M$29,$P3)-$N$29</f>
        <v>44.278816735581543</v>
      </c>
      <c r="Y3" s="7" t="e">
        <f t="shared" ref="Y3:Y34" si="8">SingleCoilTorque($F$30,$G$30,$H$30,$I$30,$J$30,$K$30,$C$2,$M$30,$P3)-$N$30</f>
        <v>#VALUE!</v>
      </c>
      <c r="Z3" s="7" t="e">
        <f t="shared" ref="Z3:Z34" si="9">SingleCoilTorque($F$31,$G$31,$H$31,$I$31,$J$31,$K$31,$C$2,$M$31,$P3)-$N$31</f>
        <v>#VALUE!</v>
      </c>
      <c r="AA3" s="7" t="e">
        <f t="shared" ref="AA3:AA34" si="10">SingleCoilTorque($F$32,$G$32,$H$32,$I$32,$J$32,$K$32,$C$2,$M$32,$P3)-$N$32</f>
        <v>#VALUE!</v>
      </c>
      <c r="AB3" s="7" t="e">
        <f t="shared" ref="AB3:AB34" si="11">SingleCoilTorque($F$33,$G$33,$H$33,$I$33,$J$33,$K$33,$C$2,$M$33,$P3)-$N$33</f>
        <v>#VALUE!</v>
      </c>
      <c r="AC3" s="7" t="e">
        <f t="shared" ref="AC3:AC34" si="12">SingleCoilTorque($F$34,$G$34,$H$34,$I$34,$J$34,$K$34,$C$2,$M$34,$P3)-$N$34</f>
        <v>#VALUE!</v>
      </c>
      <c r="AD3" s="7" t="e">
        <f t="shared" ref="AD3:AD34" si="13">SingleCoilTorque($F$35,$G$35,$H$35,$I$35,$J$35,$K$35,$C$2,$M$35,$P3)-$N$35</f>
        <v>#VALUE!</v>
      </c>
      <c r="AE3" s="7" t="e">
        <f t="shared" ref="AE3:AE34" si="14">SingleCoilTorque($F$36,$G$36,$H$36,$I$36,$J$36,$K$36,$C$2,$M$36,$P3)-$N$36</f>
        <v>#VALUE!</v>
      </c>
      <c r="AF3" s="7" t="e">
        <f t="shared" ref="AF3:AF34" si="15">SingleCoilTorque($F$37,$G$37,$H$37,$I$37,$J$37,$K$37,$C$2,$M$37,$P3)-$N$37</f>
        <v>#VALUE!</v>
      </c>
      <c r="AG3" s="7" t="e">
        <f t="shared" ref="AG3:AG34" si="16">SingleCoilTorque($F$38,$G$38,$H$38,$I$38,$J$38,$K$38,$C$2,$M$38,$P3)-$N$38</f>
        <v>#VALUE!</v>
      </c>
      <c r="AH3" s="7">
        <f>$C$11</f>
        <v>28.647889756541161</v>
      </c>
      <c r="AJ3">
        <f>Q3</f>
        <v>0</v>
      </c>
      <c r="AK3" s="7">
        <f t="shared" ref="AK3:AK34" si="17">StepperPower($F$23,$G$23,$H$23,$I$23,$J$23,$K$23,$C$2,$M$23,$P3)</f>
        <v>5.6</v>
      </c>
      <c r="AL3" s="7">
        <f t="shared" ref="AL3:AL34" si="18">StepperPower($F$24,$G$24,$H$24,$I$24,$J$24,$K$24,$C$2,$M$24,$P3)</f>
        <v>5.8</v>
      </c>
      <c r="AM3" s="7">
        <f t="shared" ref="AM3:AM34" si="19">StepperPower($F$25,$G$25,$H$25,$I$25,$J$25,$K$25,$C$2,$M$25,$P3)</f>
        <v>6.4</v>
      </c>
      <c r="AN3" s="7">
        <f t="shared" ref="AN3:AN34" si="20">StepperPower($F$26,$G$26,$H$26,$I$26,$J$26,$K$26,$C$2,$M$26,$P3)</f>
        <v>4.4000000000000004</v>
      </c>
      <c r="AO3" s="7">
        <f t="shared" ref="AO3:AO34" si="21">StepperPower($F$27,$G$27,$H$27,$I$27,$J$27,$K$27,$C$2,$M$27,$P3)</f>
        <v>4.6569599999999998</v>
      </c>
      <c r="AP3" s="7">
        <f t="shared" ref="AP3:AP34" si="22">StepperPower($F$28,$G$28,$H$28,$I$28,$J$28,$K$28,$C$2,$M$28,$P3)</f>
        <v>7.8125</v>
      </c>
      <c r="AQ3" s="7">
        <f t="shared" ref="AQ3:AQ34" si="23">StepperPower($F$29,$G$29,$H$29,$I$29,$J$29,$K$29,$C$2,$M$29,$P3)</f>
        <v>8</v>
      </c>
      <c r="AR3" s="7" t="e">
        <f t="shared" ref="AR3:AR34" si="24">StepperPower($F$30,$G$30,$H$30,$I$30,$J$30,$K$30,$C$2,$M$30,$P3)</f>
        <v>#VALUE!</v>
      </c>
      <c r="AS3" s="7" t="e">
        <f t="shared" ref="AS3:AS34" si="25">StepperPower($F$31,$G$31,$H$31,$I$31,$J$31,$K$31,$C$2,$M$31,$P3)</f>
        <v>#VALUE!</v>
      </c>
      <c r="AT3" s="7" t="e">
        <f t="shared" ref="AT3:AT34" si="26">StepperPower($F$32,$G$32,$H$32,$I$32,$J$32,$K$32,$C$2,$M$32,$P3)</f>
        <v>#VALUE!</v>
      </c>
      <c r="AU3" s="7" t="e">
        <f t="shared" ref="AU3:AU34" si="27">StepperPower($F$33,$G$33,$H$33,$I$33,$J$33,$K$33,$C$2,$M$33,$P3)</f>
        <v>#VALUE!</v>
      </c>
      <c r="AV3" s="7" t="e">
        <f t="shared" ref="AV3:AV34" si="28">StepperPower($F$34,$G$34,$H$34,$I$34,$J$34,$K$34,$C$2,$M$34,$P3)</f>
        <v>#VALUE!</v>
      </c>
      <c r="AW3" s="7" t="e">
        <f t="shared" ref="AW3:AW34" si="29">StepperPower($F$35,$G$35,$H$35,$I$35,$J$35,$K$35,$C$2,$M$35,$P3)</f>
        <v>#VALUE!</v>
      </c>
      <c r="AX3" s="7" t="e">
        <f t="shared" ref="AX3:AX34" si="30">StepperPower($F$36,$G$36,$H$36,$I$36,$J$36,$K$36,$C$2,$M$36,$P3)</f>
        <v>#VALUE!</v>
      </c>
      <c r="AY3" s="7" t="e">
        <f t="shared" ref="AY3:AY34" si="31">StepperPower($F$37,$G$37,$H$37,$I$37,$J$37,$K$37,$C$2,$M$37,$P3)</f>
        <v>#VALUE!</v>
      </c>
      <c r="AZ3" s="7" t="e">
        <f t="shared" ref="AZ3:AZ34" si="32">StepperPower($F$38,$G$38,$H$38,$I$38,$J$38,$K$38,$C$2,$M$38,$P3)</f>
        <v>#VALUE!</v>
      </c>
      <c r="BA3" s="7"/>
    </row>
    <row r="4" spans="2:53" x14ac:dyDescent="0.25">
      <c r="B4" s="1" t="s">
        <v>63</v>
      </c>
      <c r="C4" s="8">
        <v>1</v>
      </c>
      <c r="P4">
        <f>P3+0.5</f>
        <v>0.5</v>
      </c>
      <c r="Q4">
        <f t="shared" ref="Q4:Q67" si="33">P4*$C$6*2/$C$7</f>
        <v>20</v>
      </c>
      <c r="R4" s="7">
        <f t="shared" si="1"/>
        <v>30.133124239795386</v>
      </c>
      <c r="S4" s="7">
        <f t="shared" si="2"/>
        <v>20.939347719286189</v>
      </c>
      <c r="T4" s="7">
        <f t="shared" si="3"/>
        <v>29.001795653060057</v>
      </c>
      <c r="U4" s="7">
        <f t="shared" si="4"/>
        <v>14.715086719305365</v>
      </c>
      <c r="V4" s="7">
        <f t="shared" si="5"/>
        <v>17.968056041542809</v>
      </c>
      <c r="W4" s="7">
        <f t="shared" si="6"/>
        <v>28.505538361203357</v>
      </c>
      <c r="X4" s="7">
        <f t="shared" si="7"/>
        <v>44.278816735581543</v>
      </c>
      <c r="Y4" s="7" t="e">
        <f t="shared" si="8"/>
        <v>#VALUE!</v>
      </c>
      <c r="Z4" s="7" t="e">
        <f t="shared" si="9"/>
        <v>#VALUE!</v>
      </c>
      <c r="AA4" s="7" t="e">
        <f t="shared" si="10"/>
        <v>#VALUE!</v>
      </c>
      <c r="AB4" s="7" t="e">
        <f t="shared" si="11"/>
        <v>#VALUE!</v>
      </c>
      <c r="AC4" s="7" t="e">
        <f t="shared" si="12"/>
        <v>#VALUE!</v>
      </c>
      <c r="AD4" s="7" t="e">
        <f t="shared" si="13"/>
        <v>#VALUE!</v>
      </c>
      <c r="AE4" s="7" t="e">
        <f t="shared" si="14"/>
        <v>#VALUE!</v>
      </c>
      <c r="AF4" s="7" t="e">
        <f t="shared" si="15"/>
        <v>#VALUE!</v>
      </c>
      <c r="AG4" s="7" t="e">
        <f t="shared" si="16"/>
        <v>#VALUE!</v>
      </c>
      <c r="AH4" s="7">
        <f t="shared" ref="AH4:AH67" si="34">$C$11</f>
        <v>28.647889756541161</v>
      </c>
      <c r="AJ4">
        <f t="shared" ref="AJ4:AJ67" si="35">Q4</f>
        <v>20</v>
      </c>
      <c r="AK4" s="7">
        <f t="shared" si="17"/>
        <v>6.9108097595473836</v>
      </c>
      <c r="AL4" s="7">
        <f t="shared" si="18"/>
        <v>6.8219872701555868</v>
      </c>
      <c r="AM4" s="7">
        <f t="shared" si="19"/>
        <v>7.688592644978784</v>
      </c>
      <c r="AN4" s="7">
        <f t="shared" si="20"/>
        <v>5.177599009900991</v>
      </c>
      <c r="AO4" s="7">
        <f t="shared" si="21"/>
        <v>5.5234274681753881</v>
      </c>
      <c r="AP4" s="7">
        <f t="shared" si="22"/>
        <v>9.010002475247525</v>
      </c>
      <c r="AQ4" s="7">
        <f t="shared" si="23"/>
        <v>9.8440205091937774</v>
      </c>
      <c r="AR4" s="7" t="e">
        <f t="shared" si="24"/>
        <v>#VALUE!</v>
      </c>
      <c r="AS4" s="7" t="e">
        <f t="shared" si="25"/>
        <v>#VALUE!</v>
      </c>
      <c r="AT4" s="7" t="e">
        <f t="shared" si="26"/>
        <v>#VALUE!</v>
      </c>
      <c r="AU4" s="7" t="e">
        <f t="shared" si="27"/>
        <v>#VALUE!</v>
      </c>
      <c r="AV4" s="7" t="e">
        <f t="shared" si="28"/>
        <v>#VALUE!</v>
      </c>
      <c r="AW4" s="7" t="e">
        <f t="shared" si="29"/>
        <v>#VALUE!</v>
      </c>
      <c r="AX4" s="7" t="e">
        <f t="shared" si="30"/>
        <v>#VALUE!</v>
      </c>
      <c r="AY4" s="7" t="e">
        <f t="shared" si="31"/>
        <v>#VALUE!</v>
      </c>
      <c r="AZ4" s="7" t="e">
        <f t="shared" si="32"/>
        <v>#VALUE!</v>
      </c>
      <c r="BA4" s="7"/>
    </row>
    <row r="5" spans="2:53" x14ac:dyDescent="0.25">
      <c r="B5" s="1"/>
      <c r="P5">
        <f t="shared" ref="P5:P68" si="36">P4+0.5</f>
        <v>1</v>
      </c>
      <c r="Q5">
        <f t="shared" si="33"/>
        <v>40</v>
      </c>
      <c r="R5" s="7">
        <f t="shared" si="1"/>
        <v>30.133124239795386</v>
      </c>
      <c r="S5" s="7">
        <f t="shared" si="2"/>
        <v>20.939347719286189</v>
      </c>
      <c r="T5" s="7">
        <f t="shared" si="3"/>
        <v>29.001795653060057</v>
      </c>
      <c r="U5" s="7">
        <f t="shared" si="4"/>
        <v>14.715086719305365</v>
      </c>
      <c r="V5" s="7">
        <f t="shared" si="5"/>
        <v>17.968056041542809</v>
      </c>
      <c r="W5" s="7">
        <f t="shared" si="6"/>
        <v>28.505538361203357</v>
      </c>
      <c r="X5" s="7">
        <f t="shared" si="7"/>
        <v>44.278816735581543</v>
      </c>
      <c r="Y5" s="7" t="e">
        <f t="shared" si="8"/>
        <v>#VALUE!</v>
      </c>
      <c r="Z5" s="7" t="e">
        <f t="shared" si="9"/>
        <v>#VALUE!</v>
      </c>
      <c r="AA5" s="7" t="e">
        <f t="shared" si="10"/>
        <v>#VALUE!</v>
      </c>
      <c r="AB5" s="7" t="e">
        <f t="shared" si="11"/>
        <v>#VALUE!</v>
      </c>
      <c r="AC5" s="7" t="e">
        <f t="shared" si="12"/>
        <v>#VALUE!</v>
      </c>
      <c r="AD5" s="7" t="e">
        <f t="shared" si="13"/>
        <v>#VALUE!</v>
      </c>
      <c r="AE5" s="7" t="e">
        <f t="shared" si="14"/>
        <v>#VALUE!</v>
      </c>
      <c r="AF5" s="7" t="e">
        <f t="shared" si="15"/>
        <v>#VALUE!</v>
      </c>
      <c r="AG5" s="7" t="e">
        <f t="shared" si="16"/>
        <v>#VALUE!</v>
      </c>
      <c r="AH5" s="7">
        <f t="shared" si="34"/>
        <v>28.647889756541161</v>
      </c>
      <c r="AJ5">
        <f t="shared" si="35"/>
        <v>40</v>
      </c>
      <c r="AK5" s="7">
        <f t="shared" si="17"/>
        <v>8.2216195190947658</v>
      </c>
      <c r="AL5" s="7">
        <f t="shared" si="18"/>
        <v>7.8439745403111738</v>
      </c>
      <c r="AM5" s="7">
        <f t="shared" si="19"/>
        <v>8.9771852899575677</v>
      </c>
      <c r="AN5" s="7">
        <f t="shared" si="20"/>
        <v>5.9551980198019807</v>
      </c>
      <c r="AO5" s="7">
        <f t="shared" si="21"/>
        <v>6.3898949363507782</v>
      </c>
      <c r="AP5" s="7">
        <f t="shared" si="22"/>
        <v>10.20750495049505</v>
      </c>
      <c r="AQ5" s="7">
        <f t="shared" si="23"/>
        <v>11.688041018387553</v>
      </c>
      <c r="AR5" s="7" t="e">
        <f t="shared" si="24"/>
        <v>#VALUE!</v>
      </c>
      <c r="AS5" s="7" t="e">
        <f t="shared" si="25"/>
        <v>#VALUE!</v>
      </c>
      <c r="AT5" s="7" t="e">
        <f t="shared" si="26"/>
        <v>#VALUE!</v>
      </c>
      <c r="AU5" s="7" t="e">
        <f t="shared" si="27"/>
        <v>#VALUE!</v>
      </c>
      <c r="AV5" s="7" t="e">
        <f t="shared" si="28"/>
        <v>#VALUE!</v>
      </c>
      <c r="AW5" s="7" t="e">
        <f t="shared" si="29"/>
        <v>#VALUE!</v>
      </c>
      <c r="AX5" s="7" t="e">
        <f t="shared" si="30"/>
        <v>#VALUE!</v>
      </c>
      <c r="AY5" s="7" t="e">
        <f t="shared" si="31"/>
        <v>#VALUE!</v>
      </c>
      <c r="AZ5" s="7" t="e">
        <f t="shared" si="32"/>
        <v>#VALUE!</v>
      </c>
      <c r="BA5" s="7"/>
    </row>
    <row r="6" spans="2:53" x14ac:dyDescent="0.25">
      <c r="B6" s="1" t="s">
        <v>4</v>
      </c>
      <c r="C6">
        <v>20</v>
      </c>
      <c r="D6" t="s">
        <v>64</v>
      </c>
      <c r="E6">
        <f>C6*2/(2*PI())</f>
        <v>6.366197723675814</v>
      </c>
      <c r="F6" t="s">
        <v>10</v>
      </c>
      <c r="P6">
        <f t="shared" si="36"/>
        <v>1.5</v>
      </c>
      <c r="Q6">
        <f t="shared" si="33"/>
        <v>60</v>
      </c>
      <c r="R6" s="7">
        <f t="shared" si="1"/>
        <v>30.133124239795386</v>
      </c>
      <c r="S6" s="7">
        <f t="shared" si="2"/>
        <v>20.939347719286189</v>
      </c>
      <c r="T6" s="7">
        <f t="shared" si="3"/>
        <v>29.001795653060057</v>
      </c>
      <c r="U6" s="7">
        <f t="shared" si="4"/>
        <v>14.715086719305365</v>
      </c>
      <c r="V6" s="7">
        <f t="shared" si="5"/>
        <v>17.968056041542809</v>
      </c>
      <c r="W6" s="7">
        <f t="shared" si="6"/>
        <v>28.505538361203357</v>
      </c>
      <c r="X6" s="7">
        <f t="shared" si="7"/>
        <v>44.278816735581543</v>
      </c>
      <c r="Y6" s="7" t="e">
        <f t="shared" si="8"/>
        <v>#VALUE!</v>
      </c>
      <c r="Z6" s="7" t="e">
        <f t="shared" si="9"/>
        <v>#VALUE!</v>
      </c>
      <c r="AA6" s="7" t="e">
        <f t="shared" si="10"/>
        <v>#VALUE!</v>
      </c>
      <c r="AB6" s="7" t="e">
        <f t="shared" si="11"/>
        <v>#VALUE!</v>
      </c>
      <c r="AC6" s="7" t="e">
        <f t="shared" si="12"/>
        <v>#VALUE!</v>
      </c>
      <c r="AD6" s="7" t="e">
        <f t="shared" si="13"/>
        <v>#VALUE!</v>
      </c>
      <c r="AE6" s="7" t="e">
        <f t="shared" si="14"/>
        <v>#VALUE!</v>
      </c>
      <c r="AF6" s="7" t="e">
        <f t="shared" si="15"/>
        <v>#VALUE!</v>
      </c>
      <c r="AG6" s="7" t="e">
        <f t="shared" si="16"/>
        <v>#VALUE!</v>
      </c>
      <c r="AH6" s="7">
        <f t="shared" si="34"/>
        <v>28.647889756541161</v>
      </c>
      <c r="AJ6">
        <f t="shared" si="35"/>
        <v>60</v>
      </c>
      <c r="AK6" s="7">
        <f t="shared" si="17"/>
        <v>9.5324292786421498</v>
      </c>
      <c r="AL6" s="7">
        <f t="shared" si="18"/>
        <v>8.8659618104667608</v>
      </c>
      <c r="AM6" s="7">
        <f t="shared" si="19"/>
        <v>10.265777934936352</v>
      </c>
      <c r="AN6" s="7">
        <f t="shared" si="20"/>
        <v>6.7327970297029704</v>
      </c>
      <c r="AO6" s="7">
        <f t="shared" si="21"/>
        <v>7.2563624045261674</v>
      </c>
      <c r="AP6" s="7">
        <f t="shared" si="22"/>
        <v>11.405007425742575</v>
      </c>
      <c r="AQ6" s="7">
        <f t="shared" si="23"/>
        <v>13.53206152758133</v>
      </c>
      <c r="AR6" s="7" t="e">
        <f t="shared" si="24"/>
        <v>#VALUE!</v>
      </c>
      <c r="AS6" s="7" t="e">
        <f t="shared" si="25"/>
        <v>#VALUE!</v>
      </c>
      <c r="AT6" s="7" t="e">
        <f t="shared" si="26"/>
        <v>#VALUE!</v>
      </c>
      <c r="AU6" s="7" t="e">
        <f t="shared" si="27"/>
        <v>#VALUE!</v>
      </c>
      <c r="AV6" s="7" t="e">
        <f t="shared" si="28"/>
        <v>#VALUE!</v>
      </c>
      <c r="AW6" s="7" t="e">
        <f t="shared" si="29"/>
        <v>#VALUE!</v>
      </c>
      <c r="AX6" s="7" t="e">
        <f t="shared" si="30"/>
        <v>#VALUE!</v>
      </c>
      <c r="AY6" s="7" t="e">
        <f t="shared" si="31"/>
        <v>#VALUE!</v>
      </c>
      <c r="AZ6" s="7" t="e">
        <f t="shared" si="32"/>
        <v>#VALUE!</v>
      </c>
      <c r="BA6" s="7"/>
    </row>
    <row r="7" spans="2:53" x14ac:dyDescent="0.25">
      <c r="B7" s="1" t="s">
        <v>5</v>
      </c>
      <c r="C7">
        <v>1</v>
      </c>
      <c r="P7">
        <f t="shared" si="36"/>
        <v>2</v>
      </c>
      <c r="Q7">
        <f t="shared" si="33"/>
        <v>80</v>
      </c>
      <c r="R7" s="7">
        <f t="shared" si="1"/>
        <v>30.133124239795386</v>
      </c>
      <c r="S7" s="7">
        <f t="shared" si="2"/>
        <v>20.939347719286189</v>
      </c>
      <c r="T7" s="7">
        <f t="shared" si="3"/>
        <v>29.001795653060057</v>
      </c>
      <c r="U7" s="7">
        <f t="shared" si="4"/>
        <v>14.715086719305365</v>
      </c>
      <c r="V7" s="7">
        <f t="shared" si="5"/>
        <v>17.968056041542809</v>
      </c>
      <c r="W7" s="7">
        <f t="shared" si="6"/>
        <v>28.505538361203357</v>
      </c>
      <c r="X7" s="7">
        <f t="shared" si="7"/>
        <v>44.278816735581543</v>
      </c>
      <c r="Y7" s="7" t="e">
        <f t="shared" si="8"/>
        <v>#VALUE!</v>
      </c>
      <c r="Z7" s="7" t="e">
        <f t="shared" si="9"/>
        <v>#VALUE!</v>
      </c>
      <c r="AA7" s="7" t="e">
        <f t="shared" si="10"/>
        <v>#VALUE!</v>
      </c>
      <c r="AB7" s="7" t="e">
        <f t="shared" si="11"/>
        <v>#VALUE!</v>
      </c>
      <c r="AC7" s="7" t="e">
        <f t="shared" si="12"/>
        <v>#VALUE!</v>
      </c>
      <c r="AD7" s="7" t="e">
        <f t="shared" si="13"/>
        <v>#VALUE!</v>
      </c>
      <c r="AE7" s="7" t="e">
        <f t="shared" si="14"/>
        <v>#VALUE!</v>
      </c>
      <c r="AF7" s="7" t="e">
        <f t="shared" si="15"/>
        <v>#VALUE!</v>
      </c>
      <c r="AG7" s="7" t="e">
        <f t="shared" si="16"/>
        <v>#VALUE!</v>
      </c>
      <c r="AH7" s="7">
        <f t="shared" si="34"/>
        <v>28.647889756541161</v>
      </c>
      <c r="AJ7">
        <f t="shared" si="35"/>
        <v>80</v>
      </c>
      <c r="AK7" s="7">
        <f t="shared" si="17"/>
        <v>10.843239038189534</v>
      </c>
      <c r="AL7" s="7">
        <f t="shared" si="18"/>
        <v>9.8879490806223487</v>
      </c>
      <c r="AM7" s="7">
        <f t="shared" si="19"/>
        <v>11.554370579915135</v>
      </c>
      <c r="AN7" s="7">
        <f t="shared" si="20"/>
        <v>7.5103960396039611</v>
      </c>
      <c r="AO7" s="7">
        <f t="shared" si="21"/>
        <v>8.1228298727015549</v>
      </c>
      <c r="AP7" s="7">
        <f t="shared" si="22"/>
        <v>12.6025099009901</v>
      </c>
      <c r="AQ7" s="7">
        <f t="shared" si="23"/>
        <v>15.376082036775106</v>
      </c>
      <c r="AR7" s="7" t="e">
        <f t="shared" si="24"/>
        <v>#VALUE!</v>
      </c>
      <c r="AS7" s="7" t="e">
        <f t="shared" si="25"/>
        <v>#VALUE!</v>
      </c>
      <c r="AT7" s="7" t="e">
        <f t="shared" si="26"/>
        <v>#VALUE!</v>
      </c>
      <c r="AU7" s="7" t="e">
        <f t="shared" si="27"/>
        <v>#VALUE!</v>
      </c>
      <c r="AV7" s="7" t="e">
        <f t="shared" si="28"/>
        <v>#VALUE!</v>
      </c>
      <c r="AW7" s="7" t="e">
        <f t="shared" si="29"/>
        <v>#VALUE!</v>
      </c>
      <c r="AX7" s="7" t="e">
        <f t="shared" si="30"/>
        <v>#VALUE!</v>
      </c>
      <c r="AY7" s="7" t="e">
        <f t="shared" si="31"/>
        <v>#VALUE!</v>
      </c>
      <c r="AZ7" s="7" t="e">
        <f t="shared" si="32"/>
        <v>#VALUE!</v>
      </c>
      <c r="BA7" s="7"/>
    </row>
    <row r="8" spans="2:53" x14ac:dyDescent="0.25">
      <c r="P8">
        <f t="shared" si="36"/>
        <v>2.5</v>
      </c>
      <c r="Q8">
        <f t="shared" si="33"/>
        <v>100</v>
      </c>
      <c r="R8" s="7">
        <f t="shared" si="1"/>
        <v>30.133124239795386</v>
      </c>
      <c r="S8" s="7">
        <f t="shared" si="2"/>
        <v>20.939347719286189</v>
      </c>
      <c r="T8" s="7">
        <f t="shared" si="3"/>
        <v>29.001795653060057</v>
      </c>
      <c r="U8" s="7">
        <f t="shared" si="4"/>
        <v>14.715086719305365</v>
      </c>
      <c r="V8" s="7">
        <f t="shared" si="5"/>
        <v>17.968056041542809</v>
      </c>
      <c r="W8" s="7">
        <f t="shared" si="6"/>
        <v>28.505538361203357</v>
      </c>
      <c r="X8" s="7">
        <f t="shared" si="7"/>
        <v>44.278816735581543</v>
      </c>
      <c r="Y8" s="7" t="e">
        <f t="shared" si="8"/>
        <v>#VALUE!</v>
      </c>
      <c r="Z8" s="7" t="e">
        <f t="shared" si="9"/>
        <v>#VALUE!</v>
      </c>
      <c r="AA8" s="7" t="e">
        <f t="shared" si="10"/>
        <v>#VALUE!</v>
      </c>
      <c r="AB8" s="7" t="e">
        <f t="shared" si="11"/>
        <v>#VALUE!</v>
      </c>
      <c r="AC8" s="7" t="e">
        <f t="shared" si="12"/>
        <v>#VALUE!</v>
      </c>
      <c r="AD8" s="7" t="e">
        <f t="shared" si="13"/>
        <v>#VALUE!</v>
      </c>
      <c r="AE8" s="7" t="e">
        <f t="shared" si="14"/>
        <v>#VALUE!</v>
      </c>
      <c r="AF8" s="7" t="e">
        <f t="shared" si="15"/>
        <v>#VALUE!</v>
      </c>
      <c r="AG8" s="7" t="e">
        <f t="shared" si="16"/>
        <v>#VALUE!</v>
      </c>
      <c r="AH8" s="7">
        <f t="shared" si="34"/>
        <v>28.647889756541161</v>
      </c>
      <c r="AJ8">
        <f t="shared" si="35"/>
        <v>100</v>
      </c>
      <c r="AK8" s="7">
        <f t="shared" si="17"/>
        <v>12.154048797736916</v>
      </c>
      <c r="AL8" s="7">
        <f t="shared" si="18"/>
        <v>10.909936350777937</v>
      </c>
      <c r="AM8" s="7">
        <f t="shared" si="19"/>
        <v>12.842963224893918</v>
      </c>
      <c r="AN8" s="7">
        <f t="shared" si="20"/>
        <v>8.2879950495049517</v>
      </c>
      <c r="AO8" s="7">
        <f t="shared" si="21"/>
        <v>8.989297340876945</v>
      </c>
      <c r="AP8" s="7">
        <f t="shared" si="22"/>
        <v>13.800012376237625</v>
      </c>
      <c r="AQ8" s="7">
        <f t="shared" si="23"/>
        <v>17.220102545968885</v>
      </c>
      <c r="AR8" s="7" t="e">
        <f t="shared" si="24"/>
        <v>#VALUE!</v>
      </c>
      <c r="AS8" s="7" t="e">
        <f t="shared" si="25"/>
        <v>#VALUE!</v>
      </c>
      <c r="AT8" s="7" t="e">
        <f t="shared" si="26"/>
        <v>#VALUE!</v>
      </c>
      <c r="AU8" s="7" t="e">
        <f t="shared" si="27"/>
        <v>#VALUE!</v>
      </c>
      <c r="AV8" s="7" t="e">
        <f t="shared" si="28"/>
        <v>#VALUE!</v>
      </c>
      <c r="AW8" s="7" t="e">
        <f t="shared" si="29"/>
        <v>#VALUE!</v>
      </c>
      <c r="AX8" s="7" t="e">
        <f t="shared" si="30"/>
        <v>#VALUE!</v>
      </c>
      <c r="AY8" s="7" t="e">
        <f t="shared" si="31"/>
        <v>#VALUE!</v>
      </c>
      <c r="AZ8" s="7" t="e">
        <f t="shared" si="32"/>
        <v>#VALUE!</v>
      </c>
      <c r="BA8" s="7"/>
    </row>
    <row r="9" spans="2:53" x14ac:dyDescent="0.25">
      <c r="B9" s="1" t="s">
        <v>65</v>
      </c>
      <c r="C9">
        <v>90000</v>
      </c>
      <c r="D9" t="s">
        <v>9</v>
      </c>
      <c r="P9">
        <f t="shared" si="36"/>
        <v>3</v>
      </c>
      <c r="Q9">
        <f t="shared" si="33"/>
        <v>120</v>
      </c>
      <c r="R9" s="7">
        <f t="shared" si="1"/>
        <v>30.133124239795386</v>
      </c>
      <c r="S9" s="7">
        <f t="shared" si="2"/>
        <v>20.939347719286189</v>
      </c>
      <c r="T9" s="7">
        <f t="shared" si="3"/>
        <v>29.001795653060057</v>
      </c>
      <c r="U9" s="7">
        <f t="shared" si="4"/>
        <v>14.715086719305365</v>
      </c>
      <c r="V9" s="7">
        <f t="shared" si="5"/>
        <v>17.968056041542809</v>
      </c>
      <c r="W9" s="7">
        <f t="shared" si="6"/>
        <v>28.505538361203357</v>
      </c>
      <c r="X9" s="7">
        <f t="shared" si="7"/>
        <v>44.278816735581543</v>
      </c>
      <c r="Y9" s="7" t="e">
        <f t="shared" si="8"/>
        <v>#VALUE!</v>
      </c>
      <c r="Z9" s="7" t="e">
        <f t="shared" si="9"/>
        <v>#VALUE!</v>
      </c>
      <c r="AA9" s="7" t="e">
        <f t="shared" si="10"/>
        <v>#VALUE!</v>
      </c>
      <c r="AB9" s="7" t="e">
        <f t="shared" si="11"/>
        <v>#VALUE!</v>
      </c>
      <c r="AC9" s="7" t="e">
        <f t="shared" si="12"/>
        <v>#VALUE!</v>
      </c>
      <c r="AD9" s="7" t="e">
        <f t="shared" si="13"/>
        <v>#VALUE!</v>
      </c>
      <c r="AE9" s="7" t="e">
        <f t="shared" si="14"/>
        <v>#VALUE!</v>
      </c>
      <c r="AF9" s="7" t="e">
        <f t="shared" si="15"/>
        <v>#VALUE!</v>
      </c>
      <c r="AG9" s="7" t="e">
        <f t="shared" si="16"/>
        <v>#VALUE!</v>
      </c>
      <c r="AH9" s="7">
        <f t="shared" si="34"/>
        <v>28.647889756541161</v>
      </c>
      <c r="AJ9">
        <f t="shared" si="35"/>
        <v>120</v>
      </c>
      <c r="AK9" s="7">
        <f t="shared" si="17"/>
        <v>13.4648585572843</v>
      </c>
      <c r="AL9" s="7">
        <f t="shared" si="18"/>
        <v>11.931923620933523</v>
      </c>
      <c r="AM9" s="7">
        <f t="shared" si="19"/>
        <v>14.131555869872702</v>
      </c>
      <c r="AN9" s="7">
        <f t="shared" si="20"/>
        <v>9.0655940594059423</v>
      </c>
      <c r="AO9" s="7">
        <f t="shared" si="21"/>
        <v>9.8557648090523351</v>
      </c>
      <c r="AP9" s="7">
        <f t="shared" si="22"/>
        <v>14.99751485148515</v>
      </c>
      <c r="AQ9" s="7">
        <f t="shared" si="23"/>
        <v>19.064123055162661</v>
      </c>
      <c r="AR9" s="7" t="e">
        <f t="shared" si="24"/>
        <v>#VALUE!</v>
      </c>
      <c r="AS9" s="7" t="e">
        <f t="shared" si="25"/>
        <v>#VALUE!</v>
      </c>
      <c r="AT9" s="7" t="e">
        <f t="shared" si="26"/>
        <v>#VALUE!</v>
      </c>
      <c r="AU9" s="7" t="e">
        <f t="shared" si="27"/>
        <v>#VALUE!</v>
      </c>
      <c r="AV9" s="7" t="e">
        <f t="shared" si="28"/>
        <v>#VALUE!</v>
      </c>
      <c r="AW9" s="7" t="e">
        <f t="shared" si="29"/>
        <v>#VALUE!</v>
      </c>
      <c r="AX9" s="7" t="e">
        <f t="shared" si="30"/>
        <v>#VALUE!</v>
      </c>
      <c r="AY9" s="7" t="e">
        <f t="shared" si="31"/>
        <v>#VALUE!</v>
      </c>
      <c r="AZ9" s="7" t="e">
        <f t="shared" si="32"/>
        <v>#VALUE!</v>
      </c>
      <c r="BA9" s="7"/>
    </row>
    <row r="10" spans="2:53" x14ac:dyDescent="0.25">
      <c r="B10" s="1" t="s">
        <v>70</v>
      </c>
      <c r="C10">
        <v>500</v>
      </c>
      <c r="D10" t="s">
        <v>68</v>
      </c>
      <c r="P10">
        <f t="shared" si="36"/>
        <v>3.5</v>
      </c>
      <c r="Q10">
        <f t="shared" si="33"/>
        <v>140</v>
      </c>
      <c r="R10" s="7">
        <f t="shared" si="1"/>
        <v>30.133124239795386</v>
      </c>
      <c r="S10" s="7">
        <f t="shared" si="2"/>
        <v>20.939347719286189</v>
      </c>
      <c r="T10" s="7">
        <f t="shared" si="3"/>
        <v>29.001795653060057</v>
      </c>
      <c r="U10" s="7">
        <f t="shared" si="4"/>
        <v>14.715086719305365</v>
      </c>
      <c r="V10" s="7">
        <f t="shared" si="5"/>
        <v>17.968056041542809</v>
      </c>
      <c r="W10" s="7">
        <f t="shared" si="6"/>
        <v>28.505538361203357</v>
      </c>
      <c r="X10" s="7">
        <f t="shared" si="7"/>
        <v>44.278816735581543</v>
      </c>
      <c r="Y10" s="7" t="e">
        <f t="shared" si="8"/>
        <v>#VALUE!</v>
      </c>
      <c r="Z10" s="7" t="e">
        <f t="shared" si="9"/>
        <v>#VALUE!</v>
      </c>
      <c r="AA10" s="7" t="e">
        <f t="shared" si="10"/>
        <v>#VALUE!</v>
      </c>
      <c r="AB10" s="7" t="e">
        <f t="shared" si="11"/>
        <v>#VALUE!</v>
      </c>
      <c r="AC10" s="7" t="e">
        <f t="shared" si="12"/>
        <v>#VALUE!</v>
      </c>
      <c r="AD10" s="7" t="e">
        <f t="shared" si="13"/>
        <v>#VALUE!</v>
      </c>
      <c r="AE10" s="7" t="e">
        <f t="shared" si="14"/>
        <v>#VALUE!</v>
      </c>
      <c r="AF10" s="7" t="e">
        <f t="shared" si="15"/>
        <v>#VALUE!</v>
      </c>
      <c r="AG10" s="7" t="e">
        <f t="shared" si="16"/>
        <v>#VALUE!</v>
      </c>
      <c r="AH10" s="7">
        <f t="shared" si="34"/>
        <v>28.647889756541161</v>
      </c>
      <c r="AJ10">
        <f t="shared" si="35"/>
        <v>140</v>
      </c>
      <c r="AK10" s="7">
        <f t="shared" si="17"/>
        <v>14.775668316831684</v>
      </c>
      <c r="AL10" s="7">
        <f t="shared" si="18"/>
        <v>12.953910891089109</v>
      </c>
      <c r="AM10" s="7">
        <f t="shared" si="19"/>
        <v>15.420148514851487</v>
      </c>
      <c r="AN10" s="7">
        <f t="shared" si="20"/>
        <v>9.8431930693069312</v>
      </c>
      <c r="AO10" s="7">
        <f t="shared" si="21"/>
        <v>10.722232277227723</v>
      </c>
      <c r="AP10" s="7">
        <f t="shared" si="22"/>
        <v>16.195017326732675</v>
      </c>
      <c r="AQ10" s="7">
        <f t="shared" si="23"/>
        <v>20.908143564356436</v>
      </c>
      <c r="AR10" s="7" t="e">
        <f t="shared" si="24"/>
        <v>#VALUE!</v>
      </c>
      <c r="AS10" s="7" t="e">
        <f t="shared" si="25"/>
        <v>#VALUE!</v>
      </c>
      <c r="AT10" s="7" t="e">
        <f t="shared" si="26"/>
        <v>#VALUE!</v>
      </c>
      <c r="AU10" s="7" t="e">
        <f t="shared" si="27"/>
        <v>#VALUE!</v>
      </c>
      <c r="AV10" s="7" t="e">
        <f t="shared" si="28"/>
        <v>#VALUE!</v>
      </c>
      <c r="AW10" s="7" t="e">
        <f t="shared" si="29"/>
        <v>#VALUE!</v>
      </c>
      <c r="AX10" s="7" t="e">
        <f t="shared" si="30"/>
        <v>#VALUE!</v>
      </c>
      <c r="AY10" s="7" t="e">
        <f t="shared" si="31"/>
        <v>#VALUE!</v>
      </c>
      <c r="AZ10" s="7" t="e">
        <f t="shared" si="32"/>
        <v>#VALUE!</v>
      </c>
      <c r="BA10" s="7"/>
    </row>
    <row r="11" spans="2:53" x14ac:dyDescent="0.25">
      <c r="B11" s="1" t="s">
        <v>69</v>
      </c>
      <c r="C11" s="2">
        <f>C9/1000*C10/1000*(C6*2)/(2*PI()*10)</f>
        <v>28.647889756541161</v>
      </c>
      <c r="D11" t="s">
        <v>66</v>
      </c>
      <c r="E11">
        <f>C11/100</f>
        <v>0.28647889756541162</v>
      </c>
      <c r="P11">
        <f t="shared" si="36"/>
        <v>4</v>
      </c>
      <c r="Q11">
        <f t="shared" si="33"/>
        <v>160</v>
      </c>
      <c r="R11" s="7">
        <f t="shared" si="1"/>
        <v>30.133124239795386</v>
      </c>
      <c r="S11" s="7">
        <f t="shared" si="2"/>
        <v>20.939347719286189</v>
      </c>
      <c r="T11" s="7">
        <f t="shared" si="3"/>
        <v>29.001795653060057</v>
      </c>
      <c r="U11" s="7">
        <f t="shared" si="4"/>
        <v>14.715086719305365</v>
      </c>
      <c r="V11" s="7">
        <f t="shared" si="5"/>
        <v>17.968056041542809</v>
      </c>
      <c r="W11" s="7">
        <f t="shared" si="6"/>
        <v>28.505538361203357</v>
      </c>
      <c r="X11" s="7">
        <f t="shared" si="7"/>
        <v>44.278816735581543</v>
      </c>
      <c r="Y11" s="7" t="e">
        <f t="shared" si="8"/>
        <v>#VALUE!</v>
      </c>
      <c r="Z11" s="7" t="e">
        <f t="shared" si="9"/>
        <v>#VALUE!</v>
      </c>
      <c r="AA11" s="7" t="e">
        <f t="shared" si="10"/>
        <v>#VALUE!</v>
      </c>
      <c r="AB11" s="7" t="e">
        <f t="shared" si="11"/>
        <v>#VALUE!</v>
      </c>
      <c r="AC11" s="7" t="e">
        <f t="shared" si="12"/>
        <v>#VALUE!</v>
      </c>
      <c r="AD11" s="7" t="e">
        <f t="shared" si="13"/>
        <v>#VALUE!</v>
      </c>
      <c r="AE11" s="7" t="e">
        <f t="shared" si="14"/>
        <v>#VALUE!</v>
      </c>
      <c r="AF11" s="7" t="e">
        <f t="shared" si="15"/>
        <v>#VALUE!</v>
      </c>
      <c r="AG11" s="7" t="e">
        <f t="shared" si="16"/>
        <v>#VALUE!</v>
      </c>
      <c r="AH11" s="7">
        <f t="shared" si="34"/>
        <v>28.647889756541161</v>
      </c>
      <c r="AJ11">
        <f t="shared" si="35"/>
        <v>160</v>
      </c>
      <c r="AK11" s="7">
        <f t="shared" si="17"/>
        <v>16.086478076379066</v>
      </c>
      <c r="AL11" s="7">
        <f t="shared" si="18"/>
        <v>13.975898161244697</v>
      </c>
      <c r="AM11" s="7">
        <f t="shared" si="19"/>
        <v>16.708741159830268</v>
      </c>
      <c r="AN11" s="7">
        <f t="shared" si="20"/>
        <v>10.620792079207922</v>
      </c>
      <c r="AO11" s="7">
        <f t="shared" si="21"/>
        <v>11.588699745403112</v>
      </c>
      <c r="AP11" s="7">
        <f t="shared" si="22"/>
        <v>17.3925198019802</v>
      </c>
      <c r="AQ11" s="7">
        <f t="shared" si="23"/>
        <v>22.752164073550212</v>
      </c>
      <c r="AR11" s="7" t="e">
        <f t="shared" si="24"/>
        <v>#VALUE!</v>
      </c>
      <c r="AS11" s="7" t="e">
        <f t="shared" si="25"/>
        <v>#VALUE!</v>
      </c>
      <c r="AT11" s="7" t="e">
        <f t="shared" si="26"/>
        <v>#VALUE!</v>
      </c>
      <c r="AU11" s="7" t="e">
        <f t="shared" si="27"/>
        <v>#VALUE!</v>
      </c>
      <c r="AV11" s="7" t="e">
        <f t="shared" si="28"/>
        <v>#VALUE!</v>
      </c>
      <c r="AW11" s="7" t="e">
        <f t="shared" si="29"/>
        <v>#VALUE!</v>
      </c>
      <c r="AX11" s="7" t="e">
        <f t="shared" si="30"/>
        <v>#VALUE!</v>
      </c>
      <c r="AY11" s="7" t="e">
        <f t="shared" si="31"/>
        <v>#VALUE!</v>
      </c>
      <c r="AZ11" s="7" t="e">
        <f t="shared" si="32"/>
        <v>#VALUE!</v>
      </c>
      <c r="BA11" s="7"/>
    </row>
    <row r="12" spans="2:53" ht="17.100000000000001" customHeight="1" x14ac:dyDescent="0.25">
      <c r="P12">
        <f t="shared" si="36"/>
        <v>4.5</v>
      </c>
      <c r="Q12">
        <f t="shared" si="33"/>
        <v>180</v>
      </c>
      <c r="R12" s="7">
        <f t="shared" si="1"/>
        <v>30.133124239795386</v>
      </c>
      <c r="S12" s="7">
        <f t="shared" si="2"/>
        <v>20.939347719286189</v>
      </c>
      <c r="T12" s="7">
        <f t="shared" si="3"/>
        <v>29.001795653060057</v>
      </c>
      <c r="U12" s="7">
        <f t="shared" si="4"/>
        <v>14.715086719305365</v>
      </c>
      <c r="V12" s="7">
        <f t="shared" si="5"/>
        <v>17.968056041542809</v>
      </c>
      <c r="W12" s="7">
        <f t="shared" si="6"/>
        <v>28.505538361203357</v>
      </c>
      <c r="X12" s="7">
        <f t="shared" si="7"/>
        <v>44.278816735581543</v>
      </c>
      <c r="Y12" s="7" t="e">
        <f t="shared" si="8"/>
        <v>#VALUE!</v>
      </c>
      <c r="Z12" s="7" t="e">
        <f t="shared" si="9"/>
        <v>#VALUE!</v>
      </c>
      <c r="AA12" s="7" t="e">
        <f t="shared" si="10"/>
        <v>#VALUE!</v>
      </c>
      <c r="AB12" s="7" t="e">
        <f t="shared" si="11"/>
        <v>#VALUE!</v>
      </c>
      <c r="AC12" s="7" t="e">
        <f t="shared" si="12"/>
        <v>#VALUE!</v>
      </c>
      <c r="AD12" s="7" t="e">
        <f t="shared" si="13"/>
        <v>#VALUE!</v>
      </c>
      <c r="AE12" s="7" t="e">
        <f t="shared" si="14"/>
        <v>#VALUE!</v>
      </c>
      <c r="AF12" s="7" t="e">
        <f t="shared" si="15"/>
        <v>#VALUE!</v>
      </c>
      <c r="AG12" s="7" t="e">
        <f t="shared" si="16"/>
        <v>#VALUE!</v>
      </c>
      <c r="AH12" s="7">
        <f t="shared" si="34"/>
        <v>28.647889756541161</v>
      </c>
      <c r="AJ12">
        <f t="shared" si="35"/>
        <v>180</v>
      </c>
      <c r="AK12" s="7">
        <f t="shared" si="17"/>
        <v>17.397287835926448</v>
      </c>
      <c r="AL12" s="7">
        <f t="shared" si="18"/>
        <v>14.997885431400285</v>
      </c>
      <c r="AM12" s="7">
        <f t="shared" si="19"/>
        <v>17.997333804809053</v>
      </c>
      <c r="AN12" s="7">
        <f t="shared" si="20"/>
        <v>11.398391089108912</v>
      </c>
      <c r="AO12" s="7">
        <f t="shared" si="21"/>
        <v>12.455167213578502</v>
      </c>
      <c r="AP12" s="7">
        <f t="shared" si="22"/>
        <v>18.590022277227725</v>
      </c>
      <c r="AQ12" s="7">
        <f t="shared" si="23"/>
        <v>24.596184582743991</v>
      </c>
      <c r="AR12" s="7" t="e">
        <f t="shared" si="24"/>
        <v>#VALUE!</v>
      </c>
      <c r="AS12" s="7" t="e">
        <f t="shared" si="25"/>
        <v>#VALUE!</v>
      </c>
      <c r="AT12" s="7" t="e">
        <f t="shared" si="26"/>
        <v>#VALUE!</v>
      </c>
      <c r="AU12" s="7" t="e">
        <f t="shared" si="27"/>
        <v>#VALUE!</v>
      </c>
      <c r="AV12" s="7" t="e">
        <f t="shared" si="28"/>
        <v>#VALUE!</v>
      </c>
      <c r="AW12" s="7" t="e">
        <f t="shared" si="29"/>
        <v>#VALUE!</v>
      </c>
      <c r="AX12" s="7" t="e">
        <f t="shared" si="30"/>
        <v>#VALUE!</v>
      </c>
      <c r="AY12" s="7" t="e">
        <f t="shared" si="31"/>
        <v>#VALUE!</v>
      </c>
      <c r="AZ12" s="7" t="e">
        <f t="shared" si="32"/>
        <v>#VALUE!</v>
      </c>
      <c r="BA12" s="7"/>
    </row>
    <row r="13" spans="2:53" x14ac:dyDescent="0.25">
      <c r="P13">
        <f t="shared" si="36"/>
        <v>5</v>
      </c>
      <c r="Q13">
        <f t="shared" si="33"/>
        <v>200</v>
      </c>
      <c r="R13" s="7">
        <f t="shared" si="1"/>
        <v>30.133124239795386</v>
      </c>
      <c r="S13" s="7">
        <f t="shared" si="2"/>
        <v>20.939347719286189</v>
      </c>
      <c r="T13" s="7">
        <f t="shared" si="3"/>
        <v>29.001795653060057</v>
      </c>
      <c r="U13" s="7">
        <f t="shared" si="4"/>
        <v>14.715086719305365</v>
      </c>
      <c r="V13" s="7">
        <f t="shared" si="5"/>
        <v>17.968056041542809</v>
      </c>
      <c r="W13" s="7">
        <f t="shared" si="6"/>
        <v>28.505538361203357</v>
      </c>
      <c r="X13" s="7">
        <f t="shared" si="7"/>
        <v>44.278816735581543</v>
      </c>
      <c r="Y13" s="7" t="e">
        <f t="shared" si="8"/>
        <v>#VALUE!</v>
      </c>
      <c r="Z13" s="7" t="e">
        <f t="shared" si="9"/>
        <v>#VALUE!</v>
      </c>
      <c r="AA13" s="7" t="e">
        <f t="shared" si="10"/>
        <v>#VALUE!</v>
      </c>
      <c r="AB13" s="7" t="e">
        <f t="shared" si="11"/>
        <v>#VALUE!</v>
      </c>
      <c r="AC13" s="7" t="e">
        <f t="shared" si="12"/>
        <v>#VALUE!</v>
      </c>
      <c r="AD13" s="7" t="e">
        <f t="shared" si="13"/>
        <v>#VALUE!</v>
      </c>
      <c r="AE13" s="7" t="e">
        <f t="shared" si="14"/>
        <v>#VALUE!</v>
      </c>
      <c r="AF13" s="7" t="e">
        <f t="shared" si="15"/>
        <v>#VALUE!</v>
      </c>
      <c r="AG13" s="7" t="e">
        <f t="shared" si="16"/>
        <v>#VALUE!</v>
      </c>
      <c r="AH13" s="7">
        <f t="shared" si="34"/>
        <v>28.647889756541161</v>
      </c>
      <c r="AJ13">
        <f t="shared" si="35"/>
        <v>200</v>
      </c>
      <c r="AK13" s="7">
        <f t="shared" si="17"/>
        <v>18.708097595473834</v>
      </c>
      <c r="AL13" s="7">
        <f t="shared" si="18"/>
        <v>16.019872701555872</v>
      </c>
      <c r="AM13" s="7">
        <f t="shared" si="19"/>
        <v>19.285926449787837</v>
      </c>
      <c r="AN13" s="7">
        <f t="shared" si="20"/>
        <v>12.175990099009901</v>
      </c>
      <c r="AO13" s="7">
        <f t="shared" si="21"/>
        <v>13.32163468175389</v>
      </c>
      <c r="AP13" s="7">
        <f t="shared" si="22"/>
        <v>19.78752475247525</v>
      </c>
      <c r="AQ13" s="7">
        <f t="shared" si="23"/>
        <v>26.440205091937766</v>
      </c>
      <c r="AR13" s="7" t="e">
        <f t="shared" si="24"/>
        <v>#VALUE!</v>
      </c>
      <c r="AS13" s="7" t="e">
        <f t="shared" si="25"/>
        <v>#VALUE!</v>
      </c>
      <c r="AT13" s="7" t="e">
        <f t="shared" si="26"/>
        <v>#VALUE!</v>
      </c>
      <c r="AU13" s="7" t="e">
        <f t="shared" si="27"/>
        <v>#VALUE!</v>
      </c>
      <c r="AV13" s="7" t="e">
        <f t="shared" si="28"/>
        <v>#VALUE!</v>
      </c>
      <c r="AW13" s="7" t="e">
        <f t="shared" si="29"/>
        <v>#VALUE!</v>
      </c>
      <c r="AX13" s="7" t="e">
        <f t="shared" si="30"/>
        <v>#VALUE!</v>
      </c>
      <c r="AY13" s="7" t="e">
        <f t="shared" si="31"/>
        <v>#VALUE!</v>
      </c>
      <c r="AZ13" s="7" t="e">
        <f t="shared" si="32"/>
        <v>#VALUE!</v>
      </c>
      <c r="BA13" s="7"/>
    </row>
    <row r="14" spans="2:53" x14ac:dyDescent="0.25">
      <c r="P14">
        <f t="shared" si="36"/>
        <v>5.5</v>
      </c>
      <c r="Q14">
        <f t="shared" si="33"/>
        <v>220</v>
      </c>
      <c r="R14" s="7">
        <f t="shared" si="1"/>
        <v>30.133124239795386</v>
      </c>
      <c r="S14" s="7">
        <f t="shared" si="2"/>
        <v>20.939347719286189</v>
      </c>
      <c r="T14" s="7">
        <f t="shared" si="3"/>
        <v>29.001795653060057</v>
      </c>
      <c r="U14" s="7">
        <f t="shared" si="4"/>
        <v>14.715086719305365</v>
      </c>
      <c r="V14" s="7">
        <f t="shared" si="5"/>
        <v>17.968056041542809</v>
      </c>
      <c r="W14" s="7">
        <f t="shared" si="6"/>
        <v>28.505538361203357</v>
      </c>
      <c r="X14" s="7">
        <f t="shared" si="7"/>
        <v>44.278816735581543</v>
      </c>
      <c r="Y14" s="7" t="e">
        <f t="shared" si="8"/>
        <v>#VALUE!</v>
      </c>
      <c r="Z14" s="7" t="e">
        <f t="shared" si="9"/>
        <v>#VALUE!</v>
      </c>
      <c r="AA14" s="7" t="e">
        <f t="shared" si="10"/>
        <v>#VALUE!</v>
      </c>
      <c r="AB14" s="7" t="e">
        <f t="shared" si="11"/>
        <v>#VALUE!</v>
      </c>
      <c r="AC14" s="7" t="e">
        <f t="shared" si="12"/>
        <v>#VALUE!</v>
      </c>
      <c r="AD14" s="7" t="e">
        <f t="shared" si="13"/>
        <v>#VALUE!</v>
      </c>
      <c r="AE14" s="7" t="e">
        <f t="shared" si="14"/>
        <v>#VALUE!</v>
      </c>
      <c r="AF14" s="7" t="e">
        <f t="shared" si="15"/>
        <v>#VALUE!</v>
      </c>
      <c r="AG14" s="7" t="e">
        <f t="shared" si="16"/>
        <v>#VALUE!</v>
      </c>
      <c r="AH14" s="7">
        <f t="shared" si="34"/>
        <v>28.647889756541161</v>
      </c>
      <c r="AJ14">
        <f t="shared" si="35"/>
        <v>220</v>
      </c>
      <c r="AK14" s="7">
        <f t="shared" si="17"/>
        <v>20.01890735502122</v>
      </c>
      <c r="AL14" s="7">
        <f t="shared" si="18"/>
        <v>17.041859971711457</v>
      </c>
      <c r="AM14" s="7">
        <f t="shared" si="19"/>
        <v>20.574519094766622</v>
      </c>
      <c r="AN14" s="7">
        <f t="shared" si="20"/>
        <v>12.953589108910892</v>
      </c>
      <c r="AO14" s="7">
        <f t="shared" si="21"/>
        <v>14.188102149929279</v>
      </c>
      <c r="AP14" s="7">
        <f t="shared" si="22"/>
        <v>20.985027227722775</v>
      </c>
      <c r="AQ14" s="7">
        <f t="shared" si="23"/>
        <v>28.284225601131546</v>
      </c>
      <c r="AR14" s="7" t="e">
        <f t="shared" si="24"/>
        <v>#VALUE!</v>
      </c>
      <c r="AS14" s="7" t="e">
        <f t="shared" si="25"/>
        <v>#VALUE!</v>
      </c>
      <c r="AT14" s="7" t="e">
        <f t="shared" si="26"/>
        <v>#VALUE!</v>
      </c>
      <c r="AU14" s="7" t="e">
        <f t="shared" si="27"/>
        <v>#VALUE!</v>
      </c>
      <c r="AV14" s="7" t="e">
        <f t="shared" si="28"/>
        <v>#VALUE!</v>
      </c>
      <c r="AW14" s="7" t="e">
        <f t="shared" si="29"/>
        <v>#VALUE!</v>
      </c>
      <c r="AX14" s="7" t="e">
        <f t="shared" si="30"/>
        <v>#VALUE!</v>
      </c>
      <c r="AY14" s="7" t="e">
        <f t="shared" si="31"/>
        <v>#VALUE!</v>
      </c>
      <c r="AZ14" s="7" t="e">
        <f t="shared" si="32"/>
        <v>#VALUE!</v>
      </c>
      <c r="BA14" s="7"/>
    </row>
    <row r="15" spans="2:53" x14ac:dyDescent="0.25">
      <c r="P15">
        <f t="shared" si="36"/>
        <v>6</v>
      </c>
      <c r="Q15">
        <f t="shared" si="33"/>
        <v>240</v>
      </c>
      <c r="R15" s="7">
        <f t="shared" si="1"/>
        <v>30.133124239795386</v>
      </c>
      <c r="S15" s="7">
        <f t="shared" si="2"/>
        <v>20.939347719286189</v>
      </c>
      <c r="T15" s="7">
        <f t="shared" si="3"/>
        <v>29.001795653060057</v>
      </c>
      <c r="U15" s="7">
        <f t="shared" si="4"/>
        <v>14.715086719305365</v>
      </c>
      <c r="V15" s="7">
        <f t="shared" si="5"/>
        <v>17.968056041542809</v>
      </c>
      <c r="W15" s="7">
        <f t="shared" si="6"/>
        <v>28.505538361203357</v>
      </c>
      <c r="X15" s="7">
        <f t="shared" si="7"/>
        <v>44.278816735581543</v>
      </c>
      <c r="Y15" s="7" t="e">
        <f t="shared" si="8"/>
        <v>#VALUE!</v>
      </c>
      <c r="Z15" s="7" t="e">
        <f t="shared" si="9"/>
        <v>#VALUE!</v>
      </c>
      <c r="AA15" s="7" t="e">
        <f t="shared" si="10"/>
        <v>#VALUE!</v>
      </c>
      <c r="AB15" s="7" t="e">
        <f t="shared" si="11"/>
        <v>#VALUE!</v>
      </c>
      <c r="AC15" s="7" t="e">
        <f t="shared" si="12"/>
        <v>#VALUE!</v>
      </c>
      <c r="AD15" s="7" t="e">
        <f t="shared" si="13"/>
        <v>#VALUE!</v>
      </c>
      <c r="AE15" s="7" t="e">
        <f t="shared" si="14"/>
        <v>#VALUE!</v>
      </c>
      <c r="AF15" s="7" t="e">
        <f t="shared" si="15"/>
        <v>#VALUE!</v>
      </c>
      <c r="AG15" s="7" t="e">
        <f t="shared" si="16"/>
        <v>#VALUE!</v>
      </c>
      <c r="AH15" s="7">
        <f t="shared" si="34"/>
        <v>28.647889756541161</v>
      </c>
      <c r="AJ15">
        <f t="shared" si="35"/>
        <v>240</v>
      </c>
      <c r="AK15" s="7">
        <f t="shared" si="17"/>
        <v>21.329717114568602</v>
      </c>
      <c r="AL15" s="7">
        <f t="shared" si="18"/>
        <v>18.063847241867045</v>
      </c>
      <c r="AM15" s="7">
        <f t="shared" si="19"/>
        <v>21.863111739745406</v>
      </c>
      <c r="AN15" s="7">
        <f t="shared" si="20"/>
        <v>13.731188118811883</v>
      </c>
      <c r="AO15" s="7">
        <f t="shared" si="21"/>
        <v>15.054569618104669</v>
      </c>
      <c r="AP15" s="7">
        <f t="shared" si="22"/>
        <v>22.182529702970299</v>
      </c>
      <c r="AQ15" s="7">
        <f t="shared" si="23"/>
        <v>30.128246110325321</v>
      </c>
      <c r="AR15" s="7" t="e">
        <f t="shared" si="24"/>
        <v>#VALUE!</v>
      </c>
      <c r="AS15" s="7" t="e">
        <f t="shared" si="25"/>
        <v>#VALUE!</v>
      </c>
      <c r="AT15" s="7" t="e">
        <f t="shared" si="26"/>
        <v>#VALUE!</v>
      </c>
      <c r="AU15" s="7" t="e">
        <f t="shared" si="27"/>
        <v>#VALUE!</v>
      </c>
      <c r="AV15" s="7" t="e">
        <f t="shared" si="28"/>
        <v>#VALUE!</v>
      </c>
      <c r="AW15" s="7" t="e">
        <f t="shared" si="29"/>
        <v>#VALUE!</v>
      </c>
      <c r="AX15" s="7" t="e">
        <f t="shared" si="30"/>
        <v>#VALUE!</v>
      </c>
      <c r="AY15" s="7" t="e">
        <f t="shared" si="31"/>
        <v>#VALUE!</v>
      </c>
      <c r="AZ15" s="7" t="e">
        <f t="shared" si="32"/>
        <v>#VALUE!</v>
      </c>
      <c r="BA15" s="7"/>
    </row>
    <row r="16" spans="2:53" x14ac:dyDescent="0.25">
      <c r="P16">
        <f t="shared" si="36"/>
        <v>6.5</v>
      </c>
      <c r="Q16">
        <f t="shared" si="33"/>
        <v>260</v>
      </c>
      <c r="R16" s="7">
        <f t="shared" si="1"/>
        <v>30.133124239795386</v>
      </c>
      <c r="S16" s="7">
        <f t="shared" si="2"/>
        <v>20.939347719286189</v>
      </c>
      <c r="T16" s="7">
        <f t="shared" si="3"/>
        <v>29.001795653060057</v>
      </c>
      <c r="U16" s="7">
        <f t="shared" si="4"/>
        <v>14.715086719305365</v>
      </c>
      <c r="V16" s="7">
        <f t="shared" si="5"/>
        <v>17.968056041542809</v>
      </c>
      <c r="W16" s="7">
        <f t="shared" si="6"/>
        <v>28.505538361203357</v>
      </c>
      <c r="X16" s="7">
        <f t="shared" si="7"/>
        <v>44.278816735581543</v>
      </c>
      <c r="Y16" s="7" t="e">
        <f t="shared" si="8"/>
        <v>#VALUE!</v>
      </c>
      <c r="Z16" s="7" t="e">
        <f t="shared" si="9"/>
        <v>#VALUE!</v>
      </c>
      <c r="AA16" s="7" t="e">
        <f t="shared" si="10"/>
        <v>#VALUE!</v>
      </c>
      <c r="AB16" s="7" t="e">
        <f t="shared" si="11"/>
        <v>#VALUE!</v>
      </c>
      <c r="AC16" s="7" t="e">
        <f t="shared" si="12"/>
        <v>#VALUE!</v>
      </c>
      <c r="AD16" s="7" t="e">
        <f t="shared" si="13"/>
        <v>#VALUE!</v>
      </c>
      <c r="AE16" s="7" t="e">
        <f t="shared" si="14"/>
        <v>#VALUE!</v>
      </c>
      <c r="AF16" s="7" t="e">
        <f t="shared" si="15"/>
        <v>#VALUE!</v>
      </c>
      <c r="AG16" s="7" t="e">
        <f t="shared" si="16"/>
        <v>#VALUE!</v>
      </c>
      <c r="AH16" s="7">
        <f t="shared" si="34"/>
        <v>28.647889756541161</v>
      </c>
      <c r="AJ16">
        <f t="shared" si="35"/>
        <v>260</v>
      </c>
      <c r="AK16" s="7">
        <f t="shared" si="17"/>
        <v>22.640526874115984</v>
      </c>
      <c r="AL16" s="7">
        <f t="shared" si="18"/>
        <v>19.085834512022632</v>
      </c>
      <c r="AM16" s="7">
        <f t="shared" si="19"/>
        <v>23.151704384724191</v>
      </c>
      <c r="AN16" s="7">
        <f t="shared" si="20"/>
        <v>14.508787128712873</v>
      </c>
      <c r="AO16" s="7">
        <f t="shared" si="21"/>
        <v>15.921037086280057</v>
      </c>
      <c r="AP16" s="7">
        <f t="shared" si="22"/>
        <v>23.380032178217824</v>
      </c>
      <c r="AQ16" s="7">
        <f t="shared" si="23"/>
        <v>31.972266619519097</v>
      </c>
      <c r="AR16" s="7" t="e">
        <f t="shared" si="24"/>
        <v>#VALUE!</v>
      </c>
      <c r="AS16" s="7" t="e">
        <f t="shared" si="25"/>
        <v>#VALUE!</v>
      </c>
      <c r="AT16" s="7" t="e">
        <f t="shared" si="26"/>
        <v>#VALUE!</v>
      </c>
      <c r="AU16" s="7" t="e">
        <f t="shared" si="27"/>
        <v>#VALUE!</v>
      </c>
      <c r="AV16" s="7" t="e">
        <f t="shared" si="28"/>
        <v>#VALUE!</v>
      </c>
      <c r="AW16" s="7" t="e">
        <f t="shared" si="29"/>
        <v>#VALUE!</v>
      </c>
      <c r="AX16" s="7" t="e">
        <f t="shared" si="30"/>
        <v>#VALUE!</v>
      </c>
      <c r="AY16" s="7" t="e">
        <f t="shared" si="31"/>
        <v>#VALUE!</v>
      </c>
      <c r="AZ16" s="7" t="e">
        <f t="shared" si="32"/>
        <v>#VALUE!</v>
      </c>
      <c r="BA16" s="7"/>
    </row>
    <row r="17" spans="1:53" x14ac:dyDescent="0.25">
      <c r="P17">
        <f t="shared" si="36"/>
        <v>7</v>
      </c>
      <c r="Q17">
        <f t="shared" si="33"/>
        <v>280</v>
      </c>
      <c r="R17" s="7">
        <f t="shared" si="1"/>
        <v>30.133124239795386</v>
      </c>
      <c r="S17" s="7">
        <f t="shared" si="2"/>
        <v>20.939347719286189</v>
      </c>
      <c r="T17" s="7">
        <f t="shared" si="3"/>
        <v>29.001795653060057</v>
      </c>
      <c r="U17" s="7">
        <f t="shared" si="4"/>
        <v>14.715086719305365</v>
      </c>
      <c r="V17" s="7">
        <f t="shared" si="5"/>
        <v>17.968056041542809</v>
      </c>
      <c r="W17" s="7">
        <f t="shared" si="6"/>
        <v>28.505538361203357</v>
      </c>
      <c r="X17" s="7">
        <f t="shared" si="7"/>
        <v>44.278816735581543</v>
      </c>
      <c r="Y17" s="7" t="e">
        <f t="shared" si="8"/>
        <v>#VALUE!</v>
      </c>
      <c r="Z17" s="7" t="e">
        <f t="shared" si="9"/>
        <v>#VALUE!</v>
      </c>
      <c r="AA17" s="7" t="e">
        <f t="shared" si="10"/>
        <v>#VALUE!</v>
      </c>
      <c r="AB17" s="7" t="e">
        <f t="shared" si="11"/>
        <v>#VALUE!</v>
      </c>
      <c r="AC17" s="7" t="e">
        <f t="shared" si="12"/>
        <v>#VALUE!</v>
      </c>
      <c r="AD17" s="7" t="e">
        <f t="shared" si="13"/>
        <v>#VALUE!</v>
      </c>
      <c r="AE17" s="7" t="e">
        <f t="shared" si="14"/>
        <v>#VALUE!</v>
      </c>
      <c r="AF17" s="7" t="e">
        <f t="shared" si="15"/>
        <v>#VALUE!</v>
      </c>
      <c r="AG17" s="7" t="e">
        <f t="shared" si="16"/>
        <v>#VALUE!</v>
      </c>
      <c r="AH17" s="7">
        <f t="shared" si="34"/>
        <v>28.647889756541161</v>
      </c>
      <c r="AJ17">
        <f t="shared" si="35"/>
        <v>280</v>
      </c>
      <c r="AK17" s="7">
        <f t="shared" si="17"/>
        <v>23.951336633663367</v>
      </c>
      <c r="AL17" s="7">
        <f t="shared" si="18"/>
        <v>20.10782178217822</v>
      </c>
      <c r="AM17" s="7">
        <f t="shared" si="19"/>
        <v>24.440297029702975</v>
      </c>
      <c r="AN17" s="7">
        <f t="shared" si="20"/>
        <v>15.286386138613864</v>
      </c>
      <c r="AO17" s="7">
        <f t="shared" si="21"/>
        <v>16.787504554455445</v>
      </c>
      <c r="AP17" s="7">
        <f t="shared" si="22"/>
        <v>24.577534653465349</v>
      </c>
      <c r="AQ17" s="7">
        <f t="shared" si="23"/>
        <v>33.816287128712872</v>
      </c>
      <c r="AR17" s="7" t="e">
        <f t="shared" si="24"/>
        <v>#VALUE!</v>
      </c>
      <c r="AS17" s="7" t="e">
        <f t="shared" si="25"/>
        <v>#VALUE!</v>
      </c>
      <c r="AT17" s="7" t="e">
        <f t="shared" si="26"/>
        <v>#VALUE!</v>
      </c>
      <c r="AU17" s="7" t="e">
        <f t="shared" si="27"/>
        <v>#VALUE!</v>
      </c>
      <c r="AV17" s="7" t="e">
        <f t="shared" si="28"/>
        <v>#VALUE!</v>
      </c>
      <c r="AW17" s="7" t="e">
        <f t="shared" si="29"/>
        <v>#VALUE!</v>
      </c>
      <c r="AX17" s="7" t="e">
        <f t="shared" si="30"/>
        <v>#VALUE!</v>
      </c>
      <c r="AY17" s="7" t="e">
        <f t="shared" si="31"/>
        <v>#VALUE!</v>
      </c>
      <c r="AZ17" s="7" t="e">
        <f t="shared" si="32"/>
        <v>#VALUE!</v>
      </c>
      <c r="BA17" s="7"/>
    </row>
    <row r="18" spans="1:53" x14ac:dyDescent="0.25">
      <c r="P18">
        <f t="shared" si="36"/>
        <v>7.5</v>
      </c>
      <c r="Q18">
        <f t="shared" si="33"/>
        <v>300</v>
      </c>
      <c r="R18" s="7">
        <f t="shared" si="1"/>
        <v>30.133124239795386</v>
      </c>
      <c r="S18" s="7">
        <f t="shared" si="2"/>
        <v>20.728678131259493</v>
      </c>
      <c r="T18" s="7">
        <f t="shared" si="3"/>
        <v>29.001795653060057</v>
      </c>
      <c r="U18" s="7">
        <f t="shared" si="4"/>
        <v>14.715086719305365</v>
      </c>
      <c r="V18" s="7">
        <f t="shared" si="5"/>
        <v>17.968056041542809</v>
      </c>
      <c r="W18" s="7">
        <f t="shared" si="6"/>
        <v>28.505538361203357</v>
      </c>
      <c r="X18" s="7">
        <f t="shared" si="7"/>
        <v>44.278816735581543</v>
      </c>
      <c r="Y18" s="7" t="e">
        <f t="shared" si="8"/>
        <v>#VALUE!</v>
      </c>
      <c r="Z18" s="7" t="e">
        <f t="shared" si="9"/>
        <v>#VALUE!</v>
      </c>
      <c r="AA18" s="7" t="e">
        <f t="shared" si="10"/>
        <v>#VALUE!</v>
      </c>
      <c r="AB18" s="7" t="e">
        <f t="shared" si="11"/>
        <v>#VALUE!</v>
      </c>
      <c r="AC18" s="7" t="e">
        <f t="shared" si="12"/>
        <v>#VALUE!</v>
      </c>
      <c r="AD18" s="7" t="e">
        <f t="shared" si="13"/>
        <v>#VALUE!</v>
      </c>
      <c r="AE18" s="7" t="e">
        <f t="shared" si="14"/>
        <v>#VALUE!</v>
      </c>
      <c r="AF18" s="7" t="e">
        <f t="shared" si="15"/>
        <v>#VALUE!</v>
      </c>
      <c r="AG18" s="7" t="e">
        <f t="shared" si="16"/>
        <v>#VALUE!</v>
      </c>
      <c r="AH18" s="7">
        <f t="shared" si="34"/>
        <v>28.647889756541161</v>
      </c>
      <c r="AJ18">
        <f t="shared" si="35"/>
        <v>300</v>
      </c>
      <c r="AK18" s="7">
        <f t="shared" si="17"/>
        <v>25.262146393210749</v>
      </c>
      <c r="AL18" s="7">
        <f t="shared" si="18"/>
        <v>20.955660225066559</v>
      </c>
      <c r="AM18" s="7">
        <f t="shared" si="19"/>
        <v>25.72888967468176</v>
      </c>
      <c r="AN18" s="7">
        <f t="shared" si="20"/>
        <v>16.063985148514853</v>
      </c>
      <c r="AO18" s="7">
        <f t="shared" si="21"/>
        <v>17.653972022630835</v>
      </c>
      <c r="AP18" s="7">
        <f t="shared" si="22"/>
        <v>25.775037128712874</v>
      </c>
      <c r="AQ18" s="7">
        <f t="shared" si="23"/>
        <v>35.660307637906655</v>
      </c>
      <c r="AR18" s="7" t="e">
        <f t="shared" si="24"/>
        <v>#VALUE!</v>
      </c>
      <c r="AS18" s="7" t="e">
        <f t="shared" si="25"/>
        <v>#VALUE!</v>
      </c>
      <c r="AT18" s="7" t="e">
        <f t="shared" si="26"/>
        <v>#VALUE!</v>
      </c>
      <c r="AU18" s="7" t="e">
        <f t="shared" si="27"/>
        <v>#VALUE!</v>
      </c>
      <c r="AV18" s="7" t="e">
        <f t="shared" si="28"/>
        <v>#VALUE!</v>
      </c>
      <c r="AW18" s="7" t="e">
        <f t="shared" si="29"/>
        <v>#VALUE!</v>
      </c>
      <c r="AX18" s="7" t="e">
        <f t="shared" si="30"/>
        <v>#VALUE!</v>
      </c>
      <c r="AY18" s="7" t="e">
        <f t="shared" si="31"/>
        <v>#VALUE!</v>
      </c>
      <c r="AZ18" s="7" t="e">
        <f t="shared" si="32"/>
        <v>#VALUE!</v>
      </c>
      <c r="BA18" s="7"/>
    </row>
    <row r="19" spans="1:53" x14ac:dyDescent="0.25">
      <c r="P19">
        <f t="shared" si="36"/>
        <v>8</v>
      </c>
      <c r="Q19">
        <f t="shared" si="33"/>
        <v>320</v>
      </c>
      <c r="R19" s="7">
        <f t="shared" si="1"/>
        <v>30.133124239795386</v>
      </c>
      <c r="S19" s="7">
        <f t="shared" si="2"/>
        <v>18.458894823962936</v>
      </c>
      <c r="T19" s="7">
        <f t="shared" si="3"/>
        <v>29.001795653060057</v>
      </c>
      <c r="U19" s="7">
        <f t="shared" si="4"/>
        <v>14.715086719305365</v>
      </c>
      <c r="V19" s="7">
        <f t="shared" si="5"/>
        <v>17.968056041542809</v>
      </c>
      <c r="W19" s="7">
        <f t="shared" si="6"/>
        <v>28.505538361203357</v>
      </c>
      <c r="X19" s="7">
        <f t="shared" si="7"/>
        <v>44.278816735581543</v>
      </c>
      <c r="Y19" s="7" t="e">
        <f t="shared" si="8"/>
        <v>#VALUE!</v>
      </c>
      <c r="Z19" s="7" t="e">
        <f t="shared" si="9"/>
        <v>#VALUE!</v>
      </c>
      <c r="AA19" s="7" t="e">
        <f t="shared" si="10"/>
        <v>#VALUE!</v>
      </c>
      <c r="AB19" s="7" t="e">
        <f t="shared" si="11"/>
        <v>#VALUE!</v>
      </c>
      <c r="AC19" s="7" t="e">
        <f t="shared" si="12"/>
        <v>#VALUE!</v>
      </c>
      <c r="AD19" s="7" t="e">
        <f t="shared" si="13"/>
        <v>#VALUE!</v>
      </c>
      <c r="AE19" s="7" t="e">
        <f t="shared" si="14"/>
        <v>#VALUE!</v>
      </c>
      <c r="AF19" s="7" t="e">
        <f t="shared" si="15"/>
        <v>#VALUE!</v>
      </c>
      <c r="AG19" s="7" t="e">
        <f t="shared" si="16"/>
        <v>#VALUE!</v>
      </c>
      <c r="AH19" s="7">
        <f t="shared" si="34"/>
        <v>28.647889756541161</v>
      </c>
      <c r="AJ19">
        <f t="shared" si="35"/>
        <v>320</v>
      </c>
      <c r="AK19" s="7">
        <f t="shared" si="17"/>
        <v>26.572956152758138</v>
      </c>
      <c r="AL19" s="7">
        <f t="shared" si="18"/>
        <v>20.054275562351254</v>
      </c>
      <c r="AM19" s="7">
        <f t="shared" si="19"/>
        <v>27.017482319660537</v>
      </c>
      <c r="AN19" s="7">
        <f t="shared" si="20"/>
        <v>16.841584158415841</v>
      </c>
      <c r="AO19" s="7">
        <f t="shared" si="21"/>
        <v>18.520439490806226</v>
      </c>
      <c r="AP19" s="7">
        <f t="shared" si="22"/>
        <v>26.972539603960399</v>
      </c>
      <c r="AQ19" s="7">
        <f t="shared" si="23"/>
        <v>37.504328147100424</v>
      </c>
      <c r="AR19" s="7" t="e">
        <f t="shared" si="24"/>
        <v>#VALUE!</v>
      </c>
      <c r="AS19" s="7" t="e">
        <f t="shared" si="25"/>
        <v>#VALUE!</v>
      </c>
      <c r="AT19" s="7" t="e">
        <f t="shared" si="26"/>
        <v>#VALUE!</v>
      </c>
      <c r="AU19" s="7" t="e">
        <f t="shared" si="27"/>
        <v>#VALUE!</v>
      </c>
      <c r="AV19" s="7" t="e">
        <f t="shared" si="28"/>
        <v>#VALUE!</v>
      </c>
      <c r="AW19" s="7" t="e">
        <f t="shared" si="29"/>
        <v>#VALUE!</v>
      </c>
      <c r="AX19" s="7" t="e">
        <f t="shared" si="30"/>
        <v>#VALUE!</v>
      </c>
      <c r="AY19" s="7" t="e">
        <f t="shared" si="31"/>
        <v>#VALUE!</v>
      </c>
      <c r="AZ19" s="7" t="e">
        <f t="shared" si="32"/>
        <v>#VALUE!</v>
      </c>
      <c r="BA19" s="7"/>
    </row>
    <row r="20" spans="1:53" x14ac:dyDescent="0.25">
      <c r="P20">
        <f t="shared" si="36"/>
        <v>8.5</v>
      </c>
      <c r="Q20">
        <f t="shared" si="33"/>
        <v>340</v>
      </c>
      <c r="R20" s="7">
        <f t="shared" si="1"/>
        <v>30.133124239795386</v>
      </c>
      <c r="S20" s="7">
        <f t="shared" si="2"/>
        <v>16.439171546295171</v>
      </c>
      <c r="T20" s="7">
        <f t="shared" si="3"/>
        <v>29.001795653060057</v>
      </c>
      <c r="U20" s="7">
        <f t="shared" si="4"/>
        <v>14.715086719305365</v>
      </c>
      <c r="V20" s="7">
        <f t="shared" si="5"/>
        <v>17.968056041542809</v>
      </c>
      <c r="W20" s="7">
        <f t="shared" si="6"/>
        <v>28.505538361203357</v>
      </c>
      <c r="X20" s="7">
        <f t="shared" si="7"/>
        <v>44.278816735581543</v>
      </c>
      <c r="Y20" s="7" t="e">
        <f t="shared" si="8"/>
        <v>#VALUE!</v>
      </c>
      <c r="Z20" s="7" t="e">
        <f t="shared" si="9"/>
        <v>#VALUE!</v>
      </c>
      <c r="AA20" s="7" t="e">
        <f t="shared" si="10"/>
        <v>#VALUE!</v>
      </c>
      <c r="AB20" s="7" t="e">
        <f t="shared" si="11"/>
        <v>#VALUE!</v>
      </c>
      <c r="AC20" s="7" t="e">
        <f t="shared" si="12"/>
        <v>#VALUE!</v>
      </c>
      <c r="AD20" s="7" t="e">
        <f t="shared" si="13"/>
        <v>#VALUE!</v>
      </c>
      <c r="AE20" s="7" t="e">
        <f t="shared" si="14"/>
        <v>#VALUE!</v>
      </c>
      <c r="AF20" s="7" t="e">
        <f t="shared" si="15"/>
        <v>#VALUE!</v>
      </c>
      <c r="AG20" s="7" t="e">
        <f t="shared" si="16"/>
        <v>#VALUE!</v>
      </c>
      <c r="AH20" s="7">
        <f t="shared" si="34"/>
        <v>28.647889756541161</v>
      </c>
      <c r="AJ20">
        <f t="shared" si="35"/>
        <v>340</v>
      </c>
      <c r="AK20" s="7">
        <f t="shared" si="17"/>
        <v>27.88376591230552</v>
      </c>
      <c r="AL20" s="7">
        <f t="shared" si="18"/>
        <v>19.276783085553557</v>
      </c>
      <c r="AM20" s="7">
        <f t="shared" si="19"/>
        <v>28.306074964639322</v>
      </c>
      <c r="AN20" s="7">
        <f t="shared" si="20"/>
        <v>17.619183168316834</v>
      </c>
      <c r="AO20" s="7">
        <f t="shared" si="21"/>
        <v>19.386906958981616</v>
      </c>
      <c r="AP20" s="7">
        <f t="shared" si="22"/>
        <v>28.170042079207924</v>
      </c>
      <c r="AQ20" s="7">
        <f t="shared" si="23"/>
        <v>39.348348656294206</v>
      </c>
      <c r="AR20" s="7" t="e">
        <f t="shared" si="24"/>
        <v>#VALUE!</v>
      </c>
      <c r="AS20" s="7" t="e">
        <f t="shared" si="25"/>
        <v>#VALUE!</v>
      </c>
      <c r="AT20" s="7" t="e">
        <f t="shared" si="26"/>
        <v>#VALUE!</v>
      </c>
      <c r="AU20" s="7" t="e">
        <f t="shared" si="27"/>
        <v>#VALUE!</v>
      </c>
      <c r="AV20" s="7" t="e">
        <f t="shared" si="28"/>
        <v>#VALUE!</v>
      </c>
      <c r="AW20" s="7" t="e">
        <f t="shared" si="29"/>
        <v>#VALUE!</v>
      </c>
      <c r="AX20" s="7" t="e">
        <f t="shared" si="30"/>
        <v>#VALUE!</v>
      </c>
      <c r="AY20" s="7" t="e">
        <f t="shared" si="31"/>
        <v>#VALUE!</v>
      </c>
      <c r="AZ20" s="7" t="e">
        <f t="shared" si="32"/>
        <v>#VALUE!</v>
      </c>
      <c r="BA20" s="7"/>
    </row>
    <row r="21" spans="1:53" x14ac:dyDescent="0.25">
      <c r="P21">
        <f t="shared" si="36"/>
        <v>9</v>
      </c>
      <c r="Q21">
        <f t="shared" si="33"/>
        <v>360</v>
      </c>
      <c r="R21" s="7">
        <f t="shared" si="1"/>
        <v>30.133124239795386</v>
      </c>
      <c r="S21" s="7">
        <f t="shared" si="2"/>
        <v>14.630342394692455</v>
      </c>
      <c r="T21" s="7">
        <f t="shared" si="3"/>
        <v>29.001795653060057</v>
      </c>
      <c r="U21" s="7">
        <f t="shared" si="4"/>
        <v>14.715086719305365</v>
      </c>
      <c r="V21" s="7">
        <f t="shared" si="5"/>
        <v>17.968056041542809</v>
      </c>
      <c r="W21" s="7">
        <f t="shared" si="6"/>
        <v>28.505538361203357</v>
      </c>
      <c r="X21" s="7">
        <f t="shared" si="7"/>
        <v>44.278816735581543</v>
      </c>
      <c r="Y21" s="7" t="e">
        <f t="shared" si="8"/>
        <v>#VALUE!</v>
      </c>
      <c r="Z21" s="7" t="e">
        <f t="shared" si="9"/>
        <v>#VALUE!</v>
      </c>
      <c r="AA21" s="7" t="e">
        <f t="shared" si="10"/>
        <v>#VALUE!</v>
      </c>
      <c r="AB21" s="7" t="e">
        <f t="shared" si="11"/>
        <v>#VALUE!</v>
      </c>
      <c r="AC21" s="7" t="e">
        <f t="shared" si="12"/>
        <v>#VALUE!</v>
      </c>
      <c r="AD21" s="7" t="e">
        <f t="shared" si="13"/>
        <v>#VALUE!</v>
      </c>
      <c r="AE21" s="7" t="e">
        <f t="shared" si="14"/>
        <v>#VALUE!</v>
      </c>
      <c r="AF21" s="7" t="e">
        <f t="shared" si="15"/>
        <v>#VALUE!</v>
      </c>
      <c r="AG21" s="7" t="e">
        <f t="shared" si="16"/>
        <v>#VALUE!</v>
      </c>
      <c r="AH21" s="7">
        <f t="shared" si="34"/>
        <v>28.647889756541161</v>
      </c>
      <c r="AJ21">
        <f t="shared" si="35"/>
        <v>360</v>
      </c>
      <c r="AK21" s="7">
        <f t="shared" si="17"/>
        <v>29.194575671852903</v>
      </c>
      <c r="AL21" s="7">
        <f t="shared" si="18"/>
        <v>18.596729714578998</v>
      </c>
      <c r="AM21" s="7">
        <f t="shared" si="19"/>
        <v>29.594667609618106</v>
      </c>
      <c r="AN21" s="7">
        <f t="shared" si="20"/>
        <v>18.396782178217826</v>
      </c>
      <c r="AO21" s="7">
        <f t="shared" si="21"/>
        <v>20.253374427157002</v>
      </c>
      <c r="AP21" s="7">
        <f t="shared" si="22"/>
        <v>29.367544554455449</v>
      </c>
      <c r="AQ21" s="7">
        <f t="shared" si="23"/>
        <v>41.192369165487982</v>
      </c>
      <c r="AR21" s="7" t="e">
        <f t="shared" si="24"/>
        <v>#VALUE!</v>
      </c>
      <c r="AS21" s="7" t="e">
        <f t="shared" si="25"/>
        <v>#VALUE!</v>
      </c>
      <c r="AT21" s="7" t="e">
        <f t="shared" si="26"/>
        <v>#VALUE!</v>
      </c>
      <c r="AU21" s="7" t="e">
        <f t="shared" si="27"/>
        <v>#VALUE!</v>
      </c>
      <c r="AV21" s="7" t="e">
        <f t="shared" si="28"/>
        <v>#VALUE!</v>
      </c>
      <c r="AW21" s="7" t="e">
        <f t="shared" si="29"/>
        <v>#VALUE!</v>
      </c>
      <c r="AX21" s="7" t="e">
        <f t="shared" si="30"/>
        <v>#VALUE!</v>
      </c>
      <c r="AY21" s="7" t="e">
        <f t="shared" si="31"/>
        <v>#VALUE!</v>
      </c>
      <c r="AZ21" s="7" t="e">
        <f t="shared" si="32"/>
        <v>#VALUE!</v>
      </c>
      <c r="BA21" s="7"/>
    </row>
    <row r="22" spans="1:53" ht="30" x14ac:dyDescent="0.25">
      <c r="D22" s="5" t="s">
        <v>11</v>
      </c>
      <c r="E22" s="5" t="s">
        <v>6</v>
      </c>
      <c r="F22" s="5" t="s">
        <v>38</v>
      </c>
      <c r="G22" s="5" t="s">
        <v>43</v>
      </c>
      <c r="H22" s="5" t="s">
        <v>41</v>
      </c>
      <c r="I22" s="5" t="s">
        <v>40</v>
      </c>
      <c r="J22" s="5" t="s">
        <v>39</v>
      </c>
      <c r="K22" s="5" t="s">
        <v>7</v>
      </c>
      <c r="L22" s="5"/>
      <c r="M22" t="s">
        <v>42</v>
      </c>
      <c r="N22" t="s">
        <v>67</v>
      </c>
      <c r="P22">
        <f t="shared" si="36"/>
        <v>9.5</v>
      </c>
      <c r="Q22">
        <f t="shared" si="33"/>
        <v>380</v>
      </c>
      <c r="R22" s="7">
        <f t="shared" si="1"/>
        <v>30.133124239795386</v>
      </c>
      <c r="S22" s="7">
        <f t="shared" si="2"/>
        <v>13.001014827420416</v>
      </c>
      <c r="T22" s="7">
        <f t="shared" si="3"/>
        <v>29.001795653060057</v>
      </c>
      <c r="U22" s="7">
        <f t="shared" si="4"/>
        <v>14.715086719305365</v>
      </c>
      <c r="V22" s="7">
        <f t="shared" si="5"/>
        <v>17.968056041542809</v>
      </c>
      <c r="W22" s="7">
        <f t="shared" si="6"/>
        <v>28.505538361203357</v>
      </c>
      <c r="X22" s="7">
        <f t="shared" si="7"/>
        <v>44.278816735581543</v>
      </c>
      <c r="Y22" s="7" t="e">
        <f t="shared" si="8"/>
        <v>#VALUE!</v>
      </c>
      <c r="Z22" s="7" t="e">
        <f t="shared" si="9"/>
        <v>#VALUE!</v>
      </c>
      <c r="AA22" s="7" t="e">
        <f t="shared" si="10"/>
        <v>#VALUE!</v>
      </c>
      <c r="AB22" s="7" t="e">
        <f t="shared" si="11"/>
        <v>#VALUE!</v>
      </c>
      <c r="AC22" s="7" t="e">
        <f t="shared" si="12"/>
        <v>#VALUE!</v>
      </c>
      <c r="AD22" s="7" t="e">
        <f t="shared" si="13"/>
        <v>#VALUE!</v>
      </c>
      <c r="AE22" s="7" t="e">
        <f t="shared" si="14"/>
        <v>#VALUE!</v>
      </c>
      <c r="AF22" s="7" t="e">
        <f t="shared" si="15"/>
        <v>#VALUE!</v>
      </c>
      <c r="AG22" s="7" t="e">
        <f t="shared" si="16"/>
        <v>#VALUE!</v>
      </c>
      <c r="AH22" s="7">
        <f t="shared" si="34"/>
        <v>28.647889756541161</v>
      </c>
      <c r="AJ22">
        <f t="shared" si="35"/>
        <v>380</v>
      </c>
      <c r="AK22" s="7">
        <f t="shared" si="17"/>
        <v>30.505385431400285</v>
      </c>
      <c r="AL22" s="7">
        <f t="shared" si="18"/>
        <v>17.994242075306488</v>
      </c>
      <c r="AM22" s="7">
        <f t="shared" si="19"/>
        <v>30.883260254596891</v>
      </c>
      <c r="AN22" s="7">
        <f t="shared" si="20"/>
        <v>19.174381188118815</v>
      </c>
      <c r="AO22" s="7">
        <f t="shared" si="21"/>
        <v>21.119841895332392</v>
      </c>
      <c r="AP22" s="7">
        <f t="shared" si="22"/>
        <v>30.565047029702974</v>
      </c>
      <c r="AQ22" s="7">
        <f t="shared" si="23"/>
        <v>43.036389674681757</v>
      </c>
      <c r="AR22" s="7" t="e">
        <f t="shared" si="24"/>
        <v>#VALUE!</v>
      </c>
      <c r="AS22" s="7" t="e">
        <f t="shared" si="25"/>
        <v>#VALUE!</v>
      </c>
      <c r="AT22" s="7" t="e">
        <f t="shared" si="26"/>
        <v>#VALUE!</v>
      </c>
      <c r="AU22" s="7" t="e">
        <f t="shared" si="27"/>
        <v>#VALUE!</v>
      </c>
      <c r="AV22" s="7" t="e">
        <f t="shared" si="28"/>
        <v>#VALUE!</v>
      </c>
      <c r="AW22" s="7" t="e">
        <f t="shared" si="29"/>
        <v>#VALUE!</v>
      </c>
      <c r="AX22" s="7" t="e">
        <f t="shared" si="30"/>
        <v>#VALUE!</v>
      </c>
      <c r="AY22" s="7" t="e">
        <f t="shared" si="31"/>
        <v>#VALUE!</v>
      </c>
      <c r="AZ22" s="7" t="e">
        <f t="shared" si="32"/>
        <v>#VALUE!</v>
      </c>
      <c r="BA22" s="7"/>
    </row>
    <row r="23" spans="1:53" x14ac:dyDescent="0.25">
      <c r="A23" t="s">
        <v>44</v>
      </c>
      <c r="C23" s="1" t="s">
        <v>108</v>
      </c>
      <c r="D23">
        <f>VLOOKUP($C23,Database!$A$3:$K$303,4,FALSE)</f>
        <v>17</v>
      </c>
      <c r="E23">
        <f>VLOOKUP($C23,Database!$A$3:$K$303,5,FALSE)</f>
        <v>48</v>
      </c>
      <c r="F23">
        <f>VLOOKUP($C23,Database!$A$3:$K$303,6,FALSE)</f>
        <v>1.8</v>
      </c>
      <c r="G23">
        <f>VLOOKUP($C23,Database!$A$3:$K$303,7,FALSE)</f>
        <v>2</v>
      </c>
      <c r="H23">
        <f>VLOOKUP($C23,Database!$A$3:$K$303,8,FALSE)</f>
        <v>59</v>
      </c>
      <c r="I23">
        <f>VLOOKUP($C23,Database!$A$3:$K$303,9,FALSE)</f>
        <v>3</v>
      </c>
      <c r="J23">
        <f>VLOOKUP($C23,Database!$A$3:$K$303,10,FALSE)</f>
        <v>1.4</v>
      </c>
      <c r="K23">
        <f>VLOOKUP($C23,Database!$A$3:$K$303,11,FALSE)</f>
        <v>82</v>
      </c>
      <c r="M23">
        <f t="shared" ref="M23:M38" si="37">MIN($C$3,$C$4*$G23,$G23)</f>
        <v>2</v>
      </c>
      <c r="N23" s="2">
        <f>$C$9/($C$6*2)*2*PI()*(K23/(1000*100^2))*100</f>
        <v>11.592476891746337</v>
      </c>
      <c r="P23">
        <f t="shared" si="36"/>
        <v>10</v>
      </c>
      <c r="Q23">
        <f t="shared" si="33"/>
        <v>400</v>
      </c>
      <c r="R23" s="7">
        <f t="shared" si="1"/>
        <v>30.133124239795386</v>
      </c>
      <c r="S23" s="7">
        <f t="shared" si="2"/>
        <v>11.525732329822144</v>
      </c>
      <c r="T23" s="7">
        <f t="shared" si="3"/>
        <v>29.001795653060057</v>
      </c>
      <c r="U23" s="7">
        <f t="shared" si="4"/>
        <v>14.715086719305365</v>
      </c>
      <c r="V23" s="7">
        <f t="shared" si="5"/>
        <v>17.968056041542809</v>
      </c>
      <c r="W23" s="7">
        <f t="shared" si="6"/>
        <v>28.505538361203357</v>
      </c>
      <c r="X23" s="7">
        <f t="shared" si="7"/>
        <v>44.278816735581543</v>
      </c>
      <c r="Y23" s="7" t="e">
        <f t="shared" si="8"/>
        <v>#VALUE!</v>
      </c>
      <c r="Z23" s="7" t="e">
        <f t="shared" si="9"/>
        <v>#VALUE!</v>
      </c>
      <c r="AA23" s="7" t="e">
        <f t="shared" si="10"/>
        <v>#VALUE!</v>
      </c>
      <c r="AB23" s="7" t="e">
        <f t="shared" si="11"/>
        <v>#VALUE!</v>
      </c>
      <c r="AC23" s="7" t="e">
        <f t="shared" si="12"/>
        <v>#VALUE!</v>
      </c>
      <c r="AD23" s="7" t="e">
        <f t="shared" si="13"/>
        <v>#VALUE!</v>
      </c>
      <c r="AE23" s="7" t="e">
        <f t="shared" si="14"/>
        <v>#VALUE!</v>
      </c>
      <c r="AF23" s="7" t="e">
        <f t="shared" si="15"/>
        <v>#VALUE!</v>
      </c>
      <c r="AG23" s="7" t="e">
        <f t="shared" si="16"/>
        <v>#VALUE!</v>
      </c>
      <c r="AH23" s="7">
        <f t="shared" si="34"/>
        <v>28.647889756541161</v>
      </c>
      <c r="AJ23">
        <f t="shared" si="35"/>
        <v>400</v>
      </c>
      <c r="AK23" s="7">
        <f t="shared" si="17"/>
        <v>31.816195190947667</v>
      </c>
      <c r="AL23" s="7">
        <f t="shared" si="18"/>
        <v>17.454171913204924</v>
      </c>
      <c r="AM23" s="7">
        <f t="shared" si="19"/>
        <v>32.171852899575676</v>
      </c>
      <c r="AN23" s="7">
        <f t="shared" si="20"/>
        <v>19.951980198019804</v>
      </c>
      <c r="AO23" s="7">
        <f t="shared" si="21"/>
        <v>21.986309363507782</v>
      </c>
      <c r="AP23" s="7">
        <f t="shared" si="22"/>
        <v>31.762549504950499</v>
      </c>
      <c r="AQ23" s="7">
        <f t="shared" si="23"/>
        <v>44.880410183875533</v>
      </c>
      <c r="AR23" s="7" t="e">
        <f t="shared" si="24"/>
        <v>#VALUE!</v>
      </c>
      <c r="AS23" s="7" t="e">
        <f t="shared" si="25"/>
        <v>#VALUE!</v>
      </c>
      <c r="AT23" s="7" t="e">
        <f t="shared" si="26"/>
        <v>#VALUE!</v>
      </c>
      <c r="AU23" s="7" t="e">
        <f t="shared" si="27"/>
        <v>#VALUE!</v>
      </c>
      <c r="AV23" s="7" t="e">
        <f t="shared" si="28"/>
        <v>#VALUE!</v>
      </c>
      <c r="AW23" s="7" t="e">
        <f t="shared" si="29"/>
        <v>#VALUE!</v>
      </c>
      <c r="AX23" s="7" t="e">
        <f t="shared" si="30"/>
        <v>#VALUE!</v>
      </c>
      <c r="AY23" s="7" t="e">
        <f t="shared" si="31"/>
        <v>#VALUE!</v>
      </c>
      <c r="AZ23" s="7" t="e">
        <f t="shared" si="32"/>
        <v>#VALUE!</v>
      </c>
      <c r="BA23" s="7"/>
    </row>
    <row r="24" spans="1:53" x14ac:dyDescent="0.25">
      <c r="A24" t="s">
        <v>45</v>
      </c>
      <c r="C24" s="1" t="s">
        <v>119</v>
      </c>
      <c r="D24">
        <f>VLOOKUP($C24,Database!$A$3:$K$303,4,FALSE)</f>
        <v>17</v>
      </c>
      <c r="E24">
        <f>VLOOKUP($C24,Database!$A$3:$K$303,5,FALSE)</f>
        <v>48</v>
      </c>
      <c r="F24">
        <f>VLOOKUP($C24,Database!$A$3:$K$303,6,FALSE)</f>
        <v>0.9</v>
      </c>
      <c r="G24">
        <f>VLOOKUP($C24,Database!$A$3:$K$303,7,FALSE)</f>
        <v>2</v>
      </c>
      <c r="H24">
        <f>VLOOKUP($C24,Database!$A$3:$K$303,8,FALSE)</f>
        <v>46</v>
      </c>
      <c r="I24">
        <f>VLOOKUP($C24,Database!$A$3:$K$303,9,FALSE)</f>
        <v>4</v>
      </c>
      <c r="J24">
        <f>VLOOKUP($C24,Database!$A$3:$K$303,10,FALSE)</f>
        <v>1.45</v>
      </c>
      <c r="K24">
        <f>VLOOKUP($C24,Database!$A$3:$K$303,11,FALSE)</f>
        <v>82</v>
      </c>
      <c r="M24">
        <f t="shared" si="37"/>
        <v>2</v>
      </c>
      <c r="N24" s="2">
        <f t="shared" ref="N24:N38" si="38">$C$9/($C$6*2)*2*PI()*(K24/(1000*100^2))*100</f>
        <v>11.592476891746337</v>
      </c>
      <c r="P24">
        <f t="shared" si="36"/>
        <v>10.5</v>
      </c>
      <c r="Q24">
        <f t="shared" si="33"/>
        <v>420</v>
      </c>
      <c r="R24" s="7">
        <f t="shared" si="1"/>
        <v>30.133124239795386</v>
      </c>
      <c r="S24" s="7">
        <f t="shared" si="2"/>
        <v>10.18363468968667</v>
      </c>
      <c r="T24" s="7">
        <f t="shared" si="3"/>
        <v>29.001795653060057</v>
      </c>
      <c r="U24" s="7">
        <f t="shared" si="4"/>
        <v>14.715086719305365</v>
      </c>
      <c r="V24" s="7">
        <f t="shared" si="5"/>
        <v>17.968056041542809</v>
      </c>
      <c r="W24" s="7">
        <f t="shared" si="6"/>
        <v>28.505538361203357</v>
      </c>
      <c r="X24" s="7">
        <f t="shared" si="7"/>
        <v>44.278816735581543</v>
      </c>
      <c r="Y24" s="7" t="e">
        <f t="shared" si="8"/>
        <v>#VALUE!</v>
      </c>
      <c r="Z24" s="7" t="e">
        <f t="shared" si="9"/>
        <v>#VALUE!</v>
      </c>
      <c r="AA24" s="7" t="e">
        <f t="shared" si="10"/>
        <v>#VALUE!</v>
      </c>
      <c r="AB24" s="7" t="e">
        <f t="shared" si="11"/>
        <v>#VALUE!</v>
      </c>
      <c r="AC24" s="7" t="e">
        <f t="shared" si="12"/>
        <v>#VALUE!</v>
      </c>
      <c r="AD24" s="7" t="e">
        <f t="shared" si="13"/>
        <v>#VALUE!</v>
      </c>
      <c r="AE24" s="7" t="e">
        <f t="shared" si="14"/>
        <v>#VALUE!</v>
      </c>
      <c r="AF24" s="7" t="e">
        <f t="shared" si="15"/>
        <v>#VALUE!</v>
      </c>
      <c r="AG24" s="7" t="e">
        <f t="shared" si="16"/>
        <v>#VALUE!</v>
      </c>
      <c r="AH24" s="7">
        <f t="shared" si="34"/>
        <v>28.647889756541161</v>
      </c>
      <c r="AJ24">
        <f t="shared" si="35"/>
        <v>420</v>
      </c>
      <c r="AK24" s="7">
        <f t="shared" si="17"/>
        <v>33.127004950495049</v>
      </c>
      <c r="AL24" s="7">
        <f t="shared" si="18"/>
        <v>16.964821213277734</v>
      </c>
      <c r="AM24" s="7">
        <f t="shared" si="19"/>
        <v>33.46044554455446</v>
      </c>
      <c r="AN24" s="7">
        <f t="shared" si="20"/>
        <v>20.729579207920793</v>
      </c>
      <c r="AO24" s="7">
        <f t="shared" si="21"/>
        <v>22.852776831683173</v>
      </c>
      <c r="AP24" s="7">
        <f t="shared" si="22"/>
        <v>32.960051980198024</v>
      </c>
      <c r="AQ24" s="7">
        <f t="shared" si="23"/>
        <v>46.724430693069309</v>
      </c>
      <c r="AR24" s="7" t="e">
        <f t="shared" si="24"/>
        <v>#VALUE!</v>
      </c>
      <c r="AS24" s="7" t="e">
        <f t="shared" si="25"/>
        <v>#VALUE!</v>
      </c>
      <c r="AT24" s="7" t="e">
        <f t="shared" si="26"/>
        <v>#VALUE!</v>
      </c>
      <c r="AU24" s="7" t="e">
        <f t="shared" si="27"/>
        <v>#VALUE!</v>
      </c>
      <c r="AV24" s="7" t="e">
        <f t="shared" si="28"/>
        <v>#VALUE!</v>
      </c>
      <c r="AW24" s="7" t="e">
        <f t="shared" si="29"/>
        <v>#VALUE!</v>
      </c>
      <c r="AX24" s="7" t="e">
        <f t="shared" si="30"/>
        <v>#VALUE!</v>
      </c>
      <c r="AY24" s="7" t="e">
        <f t="shared" si="31"/>
        <v>#VALUE!</v>
      </c>
      <c r="AZ24" s="7" t="e">
        <f t="shared" si="32"/>
        <v>#VALUE!</v>
      </c>
      <c r="BA24" s="7"/>
    </row>
    <row r="25" spans="1:53" x14ac:dyDescent="0.25">
      <c r="A25" t="s">
        <v>46</v>
      </c>
      <c r="C25" s="1" t="s">
        <v>151</v>
      </c>
      <c r="D25">
        <f>VLOOKUP($C25,Database!$A$3:$K$303,4,FALSE)</f>
        <v>17</v>
      </c>
      <c r="E25">
        <f>VLOOKUP($C25,Database!$A$3:$K$303,5,FALSE)</f>
        <v>48</v>
      </c>
      <c r="F25">
        <f>VLOOKUP($C25,Database!$A$3:$K$303,6,FALSE)</f>
        <v>1.8</v>
      </c>
      <c r="G25">
        <f>VLOOKUP($C25,Database!$A$3:$K$303,7,FALSE)</f>
        <v>2</v>
      </c>
      <c r="H25">
        <f>VLOOKUP($C25,Database!$A$3:$K$303,8,FALSE)</f>
        <v>58</v>
      </c>
      <c r="I25">
        <f>VLOOKUP($C25,Database!$A$3:$K$303,9,FALSE)</f>
        <v>3</v>
      </c>
      <c r="J25">
        <f>VLOOKUP($C25,Database!$A$3:$K$303,10,FALSE)</f>
        <v>1.6</v>
      </c>
      <c r="K25">
        <f>VLOOKUP($C25,Database!$A$3:$K$303,11,FALSE)</f>
        <v>85</v>
      </c>
      <c r="M25">
        <f t="shared" si="37"/>
        <v>2</v>
      </c>
      <c r="N25" s="2">
        <f t="shared" si="38"/>
        <v>12.016591899980959</v>
      </c>
      <c r="P25">
        <f t="shared" si="36"/>
        <v>11</v>
      </c>
      <c r="Q25">
        <f t="shared" si="33"/>
        <v>440</v>
      </c>
      <c r="R25" s="7">
        <f t="shared" si="1"/>
        <v>30.133124239795386</v>
      </c>
      <c r="S25" s="7">
        <f t="shared" si="2"/>
        <v>8.9574654428665426</v>
      </c>
      <c r="T25" s="7">
        <f t="shared" si="3"/>
        <v>29.001795653060057</v>
      </c>
      <c r="U25" s="7">
        <f t="shared" si="4"/>
        <v>13.833467529910273</v>
      </c>
      <c r="V25" s="7">
        <f t="shared" si="5"/>
        <v>17.968056041542809</v>
      </c>
      <c r="W25" s="7">
        <f t="shared" si="6"/>
        <v>28.505538361203357</v>
      </c>
      <c r="X25" s="7">
        <f t="shared" si="7"/>
        <v>44.278816735581543</v>
      </c>
      <c r="Y25" s="7" t="e">
        <f t="shared" si="8"/>
        <v>#VALUE!</v>
      </c>
      <c r="Z25" s="7" t="e">
        <f t="shared" si="9"/>
        <v>#VALUE!</v>
      </c>
      <c r="AA25" s="7" t="e">
        <f t="shared" si="10"/>
        <v>#VALUE!</v>
      </c>
      <c r="AB25" s="7" t="e">
        <f t="shared" si="11"/>
        <v>#VALUE!</v>
      </c>
      <c r="AC25" s="7" t="e">
        <f t="shared" si="12"/>
        <v>#VALUE!</v>
      </c>
      <c r="AD25" s="7" t="e">
        <f t="shared" si="13"/>
        <v>#VALUE!</v>
      </c>
      <c r="AE25" s="7" t="e">
        <f t="shared" si="14"/>
        <v>#VALUE!</v>
      </c>
      <c r="AF25" s="7" t="e">
        <f t="shared" si="15"/>
        <v>#VALUE!</v>
      </c>
      <c r="AG25" s="7" t="e">
        <f t="shared" si="16"/>
        <v>#VALUE!</v>
      </c>
      <c r="AH25" s="7">
        <f t="shared" si="34"/>
        <v>28.647889756541161</v>
      </c>
      <c r="AJ25">
        <f t="shared" si="35"/>
        <v>440</v>
      </c>
      <c r="AK25" s="7">
        <f t="shared" si="17"/>
        <v>34.437814710042439</v>
      </c>
      <c r="AL25" s="7">
        <f t="shared" si="18"/>
        <v>16.51704937051937</v>
      </c>
      <c r="AM25" s="7">
        <f t="shared" si="19"/>
        <v>34.749038189533245</v>
      </c>
      <c r="AN25" s="7">
        <f t="shared" si="20"/>
        <v>20.590013334425905</v>
      </c>
      <c r="AO25" s="7">
        <f t="shared" si="21"/>
        <v>23.719244299858559</v>
      </c>
      <c r="AP25" s="7">
        <f t="shared" si="22"/>
        <v>34.157554455445549</v>
      </c>
      <c r="AQ25" s="7">
        <f t="shared" si="23"/>
        <v>48.568451202263091</v>
      </c>
      <c r="AR25" s="7" t="e">
        <f t="shared" si="24"/>
        <v>#VALUE!</v>
      </c>
      <c r="AS25" s="7" t="e">
        <f t="shared" si="25"/>
        <v>#VALUE!</v>
      </c>
      <c r="AT25" s="7" t="e">
        <f t="shared" si="26"/>
        <v>#VALUE!</v>
      </c>
      <c r="AU25" s="7" t="e">
        <f t="shared" si="27"/>
        <v>#VALUE!</v>
      </c>
      <c r="AV25" s="7" t="e">
        <f t="shared" si="28"/>
        <v>#VALUE!</v>
      </c>
      <c r="AW25" s="7" t="e">
        <f t="shared" si="29"/>
        <v>#VALUE!</v>
      </c>
      <c r="AX25" s="7" t="e">
        <f t="shared" si="30"/>
        <v>#VALUE!</v>
      </c>
      <c r="AY25" s="7" t="e">
        <f t="shared" si="31"/>
        <v>#VALUE!</v>
      </c>
      <c r="AZ25" s="7" t="e">
        <f t="shared" si="32"/>
        <v>#VALUE!</v>
      </c>
      <c r="BA25" s="7"/>
    </row>
    <row r="26" spans="1:53" x14ac:dyDescent="0.25">
      <c r="A26" t="s">
        <v>47</v>
      </c>
      <c r="C26" s="1" t="s">
        <v>116</v>
      </c>
      <c r="D26">
        <f>VLOOKUP($C26,Database!$A$3:$K$303,4,FALSE)</f>
        <v>17</v>
      </c>
      <c r="E26">
        <f>VLOOKUP($C26,Database!$A$3:$K$303,5,FALSE)</f>
        <v>40</v>
      </c>
      <c r="F26">
        <f>VLOOKUP($C26,Database!$A$3:$K$303,6,FALSE)</f>
        <v>0.9</v>
      </c>
      <c r="G26">
        <f>VLOOKUP($C26,Database!$A$3:$K$303,7,FALSE)</f>
        <v>2</v>
      </c>
      <c r="H26">
        <f>VLOOKUP($C26,Database!$A$3:$K$303,8,FALSE)</f>
        <v>35</v>
      </c>
      <c r="I26">
        <f>VLOOKUP($C26,Database!$A$3:$K$303,9,FALSE)</f>
        <v>2.8</v>
      </c>
      <c r="J26">
        <f>VLOOKUP($C26,Database!$A$3:$K$303,10,FALSE)</f>
        <v>1.1000000000000001</v>
      </c>
      <c r="K26">
        <f>VLOOKUP($C26,Database!$A$3:$K$303,11,FALSE)</f>
        <v>71</v>
      </c>
      <c r="M26">
        <f t="shared" si="37"/>
        <v>2</v>
      </c>
      <c r="N26" s="2">
        <f t="shared" si="38"/>
        <v>10.037388528219388</v>
      </c>
      <c r="P26">
        <f t="shared" si="36"/>
        <v>11.5</v>
      </c>
      <c r="Q26">
        <f t="shared" si="33"/>
        <v>460</v>
      </c>
      <c r="R26" s="7">
        <f t="shared" si="1"/>
        <v>30.133124239795386</v>
      </c>
      <c r="S26" s="7">
        <f t="shared" si="2"/>
        <v>7.8328258763654794</v>
      </c>
      <c r="T26" s="7">
        <f t="shared" si="3"/>
        <v>29.001795653060057</v>
      </c>
      <c r="U26" s="7">
        <f t="shared" si="4"/>
        <v>12.623545684359634</v>
      </c>
      <c r="V26" s="7">
        <f t="shared" si="5"/>
        <v>17.5007188591321</v>
      </c>
      <c r="W26" s="7">
        <f t="shared" si="6"/>
        <v>28.505538361203357</v>
      </c>
      <c r="X26" s="7">
        <f t="shared" si="7"/>
        <v>42.064815136440842</v>
      </c>
      <c r="Y26" s="7" t="e">
        <f t="shared" si="8"/>
        <v>#VALUE!</v>
      </c>
      <c r="Z26" s="7" t="e">
        <f t="shared" si="9"/>
        <v>#VALUE!</v>
      </c>
      <c r="AA26" s="7" t="e">
        <f t="shared" si="10"/>
        <v>#VALUE!</v>
      </c>
      <c r="AB26" s="7" t="e">
        <f t="shared" si="11"/>
        <v>#VALUE!</v>
      </c>
      <c r="AC26" s="7" t="e">
        <f t="shared" si="12"/>
        <v>#VALUE!</v>
      </c>
      <c r="AD26" s="7" t="e">
        <f t="shared" si="13"/>
        <v>#VALUE!</v>
      </c>
      <c r="AE26" s="7" t="e">
        <f t="shared" si="14"/>
        <v>#VALUE!</v>
      </c>
      <c r="AF26" s="7" t="e">
        <f t="shared" si="15"/>
        <v>#VALUE!</v>
      </c>
      <c r="AG26" s="7" t="e">
        <f t="shared" si="16"/>
        <v>#VALUE!</v>
      </c>
      <c r="AH26" s="7">
        <f t="shared" si="34"/>
        <v>28.647889756541161</v>
      </c>
      <c r="AJ26">
        <f t="shared" si="35"/>
        <v>460</v>
      </c>
      <c r="AK26" s="7">
        <f t="shared" si="17"/>
        <v>35.748624469589821</v>
      </c>
      <c r="AL26" s="7">
        <f t="shared" si="18"/>
        <v>16.103637331254671</v>
      </c>
      <c r="AM26" s="7">
        <f t="shared" si="19"/>
        <v>36.037630834512029</v>
      </c>
      <c r="AN26" s="7">
        <f t="shared" si="20"/>
        <v>20.061375846406222</v>
      </c>
      <c r="AO26" s="7">
        <f t="shared" si="21"/>
        <v>24.091561859658956</v>
      </c>
      <c r="AP26" s="7">
        <f t="shared" si="22"/>
        <v>35.355056930693074</v>
      </c>
      <c r="AQ26" s="7">
        <f t="shared" si="23"/>
        <v>48.220648315747347</v>
      </c>
      <c r="AR26" s="7" t="e">
        <f t="shared" si="24"/>
        <v>#VALUE!</v>
      </c>
      <c r="AS26" s="7" t="e">
        <f t="shared" si="25"/>
        <v>#VALUE!</v>
      </c>
      <c r="AT26" s="7" t="e">
        <f t="shared" si="26"/>
        <v>#VALUE!</v>
      </c>
      <c r="AU26" s="7" t="e">
        <f t="shared" si="27"/>
        <v>#VALUE!</v>
      </c>
      <c r="AV26" s="7" t="e">
        <f t="shared" si="28"/>
        <v>#VALUE!</v>
      </c>
      <c r="AW26" s="7" t="e">
        <f t="shared" si="29"/>
        <v>#VALUE!</v>
      </c>
      <c r="AX26" s="7" t="e">
        <f t="shared" si="30"/>
        <v>#VALUE!</v>
      </c>
      <c r="AY26" s="7" t="e">
        <f t="shared" si="31"/>
        <v>#VALUE!</v>
      </c>
      <c r="AZ26" s="7" t="e">
        <f t="shared" si="32"/>
        <v>#VALUE!</v>
      </c>
      <c r="BA26" s="7"/>
    </row>
    <row r="27" spans="1:53" x14ac:dyDescent="0.25">
      <c r="A27" t="s">
        <v>48</v>
      </c>
      <c r="C27" s="1" t="s">
        <v>115</v>
      </c>
      <c r="D27">
        <f>VLOOKUP($C27,Database!$A$3:$K$303,4,FALSE)</f>
        <v>17</v>
      </c>
      <c r="E27">
        <f>VLOOKUP($C27,Database!$A$3:$K$303,5,FALSE)</f>
        <v>48</v>
      </c>
      <c r="F27">
        <f>VLOOKUP($C27,Database!$A$3:$K$303,6,FALSE)</f>
        <v>0.9</v>
      </c>
      <c r="G27">
        <f>VLOOKUP($C27,Database!$A$3:$K$303,7,FALSE)</f>
        <v>1.68</v>
      </c>
      <c r="H27">
        <f>VLOOKUP($C27,Database!$A$3:$K$303,8,FALSE)</f>
        <v>39</v>
      </c>
      <c r="I27">
        <f>VLOOKUP($C27,Database!$A$3:$K$303,9,FALSE)</f>
        <v>2.8</v>
      </c>
      <c r="J27">
        <f>VLOOKUP($C27,Database!$A$3:$K$303,10,FALSE)</f>
        <v>1.65</v>
      </c>
      <c r="K27">
        <f>VLOOKUP($C27,Database!$A$3:$K$303,11,FALSE)</f>
        <v>68</v>
      </c>
      <c r="M27">
        <f t="shared" si="37"/>
        <v>1.68</v>
      </c>
      <c r="N27" s="2">
        <f t="shared" si="38"/>
        <v>9.6132735199847676</v>
      </c>
      <c r="P27">
        <f t="shared" si="36"/>
        <v>12</v>
      </c>
      <c r="Q27">
        <f t="shared" si="33"/>
        <v>480</v>
      </c>
      <c r="R27" s="7">
        <f t="shared" si="1"/>
        <v>30.133124239795386</v>
      </c>
      <c r="S27" s="7">
        <f t="shared" si="2"/>
        <v>6.7976069752106696</v>
      </c>
      <c r="T27" s="7">
        <f t="shared" si="3"/>
        <v>29.001795653060057</v>
      </c>
      <c r="U27" s="7">
        <f t="shared" si="4"/>
        <v>11.509457182988356</v>
      </c>
      <c r="V27" s="7">
        <f t="shared" si="5"/>
        <v>16.080853416383363</v>
      </c>
      <c r="W27" s="7">
        <f t="shared" si="6"/>
        <v>28.505538361203357</v>
      </c>
      <c r="X27" s="7">
        <f t="shared" si="7"/>
        <v>38.16330517699037</v>
      </c>
      <c r="Y27" s="7" t="e">
        <f t="shared" si="8"/>
        <v>#VALUE!</v>
      </c>
      <c r="Z27" s="7" t="e">
        <f t="shared" si="9"/>
        <v>#VALUE!</v>
      </c>
      <c r="AA27" s="7" t="e">
        <f t="shared" si="10"/>
        <v>#VALUE!</v>
      </c>
      <c r="AB27" s="7" t="e">
        <f t="shared" si="11"/>
        <v>#VALUE!</v>
      </c>
      <c r="AC27" s="7" t="e">
        <f t="shared" si="12"/>
        <v>#VALUE!</v>
      </c>
      <c r="AD27" s="7" t="e">
        <f t="shared" si="13"/>
        <v>#VALUE!</v>
      </c>
      <c r="AE27" s="7" t="e">
        <f t="shared" si="14"/>
        <v>#VALUE!</v>
      </c>
      <c r="AF27" s="7" t="e">
        <f t="shared" si="15"/>
        <v>#VALUE!</v>
      </c>
      <c r="AG27" s="7" t="e">
        <f t="shared" si="16"/>
        <v>#VALUE!</v>
      </c>
      <c r="AH27" s="7">
        <f t="shared" si="34"/>
        <v>28.647889756541161</v>
      </c>
      <c r="AJ27">
        <f t="shared" si="35"/>
        <v>480</v>
      </c>
      <c r="AK27" s="7">
        <f t="shared" si="17"/>
        <v>37.059434229137203</v>
      </c>
      <c r="AL27" s="7">
        <f t="shared" si="18"/>
        <v>15.718827791300781</v>
      </c>
      <c r="AM27" s="7">
        <f t="shared" si="19"/>
        <v>37.326223479490807</v>
      </c>
      <c r="AN27" s="7">
        <f t="shared" si="20"/>
        <v>19.579591950865197</v>
      </c>
      <c r="AO27" s="7">
        <f t="shared" si="21"/>
        <v>23.413818447436697</v>
      </c>
      <c r="AP27" s="7">
        <f t="shared" si="22"/>
        <v>36.552559405940599</v>
      </c>
      <c r="AQ27" s="7">
        <f t="shared" si="23"/>
        <v>46.065520979476673</v>
      </c>
      <c r="AR27" s="7" t="e">
        <f t="shared" si="24"/>
        <v>#VALUE!</v>
      </c>
      <c r="AS27" s="7" t="e">
        <f t="shared" si="25"/>
        <v>#VALUE!</v>
      </c>
      <c r="AT27" s="7" t="e">
        <f t="shared" si="26"/>
        <v>#VALUE!</v>
      </c>
      <c r="AU27" s="7" t="e">
        <f t="shared" si="27"/>
        <v>#VALUE!</v>
      </c>
      <c r="AV27" s="7" t="e">
        <f t="shared" si="28"/>
        <v>#VALUE!</v>
      </c>
      <c r="AW27" s="7" t="e">
        <f t="shared" si="29"/>
        <v>#VALUE!</v>
      </c>
      <c r="AX27" s="7" t="e">
        <f t="shared" si="30"/>
        <v>#VALUE!</v>
      </c>
      <c r="AY27" s="7" t="e">
        <f t="shared" si="31"/>
        <v>#VALUE!</v>
      </c>
      <c r="AZ27" s="7" t="e">
        <f t="shared" si="32"/>
        <v>#VALUE!</v>
      </c>
      <c r="BA27" s="7"/>
    </row>
    <row r="28" spans="1:53" x14ac:dyDescent="0.25">
      <c r="A28" t="s">
        <v>49</v>
      </c>
      <c r="C28" s="1" t="s">
        <v>122</v>
      </c>
      <c r="D28">
        <f>VLOOKUP($C28,Database!$A$3:$K$303,4,FALSE)</f>
        <v>17</v>
      </c>
      <c r="E28">
        <f>VLOOKUP($C28,Database!$A$3:$K$303,5,FALSE)</f>
        <v>48</v>
      </c>
      <c r="F28">
        <f>VLOOKUP($C28,Database!$A$3:$K$303,6,FALSE)</f>
        <v>1.8</v>
      </c>
      <c r="G28">
        <f>VLOOKUP($C28,Database!$A$3:$K$303,7,FALSE)</f>
        <v>2.5</v>
      </c>
      <c r="H28">
        <f>VLOOKUP($C28,Database!$A$3:$K$303,8,FALSE)</f>
        <v>53.900000000000006</v>
      </c>
      <c r="I28">
        <f>VLOOKUP($C28,Database!$A$3:$K$303,9,FALSE)</f>
        <v>1.8</v>
      </c>
      <c r="J28">
        <f>VLOOKUP($C28,Database!$A$3:$K$303,10,FALSE)</f>
        <v>1.25</v>
      </c>
      <c r="K28">
        <f>VLOOKUP($C28,Database!$A$3:$K$303,11,FALSE)</f>
        <v>68</v>
      </c>
      <c r="M28">
        <f t="shared" si="37"/>
        <v>2.5</v>
      </c>
      <c r="N28" s="2">
        <f t="shared" si="38"/>
        <v>9.6132735199847676</v>
      </c>
      <c r="P28">
        <f t="shared" si="36"/>
        <v>12.5</v>
      </c>
      <c r="Q28">
        <f t="shared" si="33"/>
        <v>500</v>
      </c>
      <c r="R28" s="7">
        <f t="shared" si="1"/>
        <v>30.133124239795386</v>
      </c>
      <c r="S28" s="7">
        <f t="shared" si="2"/>
        <v>5.8415516870904689</v>
      </c>
      <c r="T28" s="7">
        <f t="shared" si="3"/>
        <v>29.001795653060057</v>
      </c>
      <c r="U28" s="7">
        <f t="shared" si="4"/>
        <v>10.480249868908498</v>
      </c>
      <c r="V28" s="7">
        <f t="shared" si="5"/>
        <v>14.766649194061484</v>
      </c>
      <c r="W28" s="7">
        <f t="shared" si="6"/>
        <v>28.505538361203357</v>
      </c>
      <c r="X28" s="7">
        <f t="shared" si="7"/>
        <v>34.532184973821167</v>
      </c>
      <c r="Y28" s="7" t="e">
        <f t="shared" si="8"/>
        <v>#VALUE!</v>
      </c>
      <c r="Z28" s="7" t="e">
        <f t="shared" si="9"/>
        <v>#VALUE!</v>
      </c>
      <c r="AA28" s="7" t="e">
        <f t="shared" si="10"/>
        <v>#VALUE!</v>
      </c>
      <c r="AB28" s="7" t="e">
        <f t="shared" si="11"/>
        <v>#VALUE!</v>
      </c>
      <c r="AC28" s="7" t="e">
        <f t="shared" si="12"/>
        <v>#VALUE!</v>
      </c>
      <c r="AD28" s="7" t="e">
        <f t="shared" si="13"/>
        <v>#VALUE!</v>
      </c>
      <c r="AE28" s="7" t="e">
        <f t="shared" si="14"/>
        <v>#VALUE!</v>
      </c>
      <c r="AF28" s="7" t="e">
        <f t="shared" si="15"/>
        <v>#VALUE!</v>
      </c>
      <c r="AG28" s="7" t="e">
        <f t="shared" si="16"/>
        <v>#VALUE!</v>
      </c>
      <c r="AH28" s="7">
        <f t="shared" si="34"/>
        <v>28.647889756541161</v>
      </c>
      <c r="AJ28">
        <f t="shared" si="35"/>
        <v>500</v>
      </c>
      <c r="AK28" s="7">
        <f t="shared" si="17"/>
        <v>38.370243988684585</v>
      </c>
      <c r="AL28" s="7">
        <f t="shared" si="18"/>
        <v>15.357988053090001</v>
      </c>
      <c r="AM28" s="7">
        <f t="shared" si="19"/>
        <v>38.614816124469591</v>
      </c>
      <c r="AN28" s="7">
        <f t="shared" si="20"/>
        <v>19.137263025404575</v>
      </c>
      <c r="AO28" s="7">
        <f t="shared" si="21"/>
        <v>22.786002298333639</v>
      </c>
      <c r="AP28" s="7">
        <f t="shared" si="22"/>
        <v>37.750061881188124</v>
      </c>
      <c r="AQ28" s="7">
        <f t="shared" si="23"/>
        <v>44.009598974609169</v>
      </c>
      <c r="AR28" s="7" t="e">
        <f t="shared" si="24"/>
        <v>#VALUE!</v>
      </c>
      <c r="AS28" s="7" t="e">
        <f t="shared" si="25"/>
        <v>#VALUE!</v>
      </c>
      <c r="AT28" s="7" t="e">
        <f t="shared" si="26"/>
        <v>#VALUE!</v>
      </c>
      <c r="AU28" s="7" t="e">
        <f t="shared" si="27"/>
        <v>#VALUE!</v>
      </c>
      <c r="AV28" s="7" t="e">
        <f t="shared" si="28"/>
        <v>#VALUE!</v>
      </c>
      <c r="AW28" s="7" t="e">
        <f t="shared" si="29"/>
        <v>#VALUE!</v>
      </c>
      <c r="AX28" s="7" t="e">
        <f t="shared" si="30"/>
        <v>#VALUE!</v>
      </c>
      <c r="AY28" s="7" t="e">
        <f t="shared" si="31"/>
        <v>#VALUE!</v>
      </c>
      <c r="AZ28" s="7" t="e">
        <f t="shared" si="32"/>
        <v>#VALUE!</v>
      </c>
      <c r="BA28" s="7"/>
    </row>
    <row r="29" spans="1:53" x14ac:dyDescent="0.25">
      <c r="A29" t="s">
        <v>50</v>
      </c>
      <c r="C29" s="1" t="s">
        <v>125</v>
      </c>
      <c r="D29">
        <f>VLOOKUP($C29,Database!$A$3:$K$303,4,FALSE)</f>
        <v>17</v>
      </c>
      <c r="E29">
        <f>VLOOKUP($C29,Database!$A$3:$K$303,5,FALSE)</f>
        <v>60</v>
      </c>
      <c r="F29">
        <f>VLOOKUP($C29,Database!$A$3:$K$303,6,FALSE)</f>
        <v>1.8</v>
      </c>
      <c r="G29">
        <f>VLOOKUP($C29,Database!$A$3:$K$303,7,FALSE)</f>
        <v>2</v>
      </c>
      <c r="H29">
        <f>VLOOKUP($C29,Database!$A$3:$K$303,8,FALSE)</f>
        <v>83</v>
      </c>
      <c r="I29">
        <f>VLOOKUP($C29,Database!$A$3:$K$303,9,FALSE)</f>
        <v>3.3</v>
      </c>
      <c r="J29">
        <f>VLOOKUP($C29,Database!$A$3:$K$303,10,FALSE)</f>
        <v>2</v>
      </c>
      <c r="K29">
        <f>VLOOKUP($C29,Database!$A$3:$K$303,11,FALSE)</f>
        <v>102</v>
      </c>
      <c r="M29">
        <f t="shared" si="37"/>
        <v>2</v>
      </c>
      <c r="N29" s="2">
        <f t="shared" si="38"/>
        <v>14.419910279977152</v>
      </c>
      <c r="P29">
        <f t="shared" si="36"/>
        <v>13</v>
      </c>
      <c r="Q29">
        <f t="shared" si="33"/>
        <v>520</v>
      </c>
      <c r="R29" s="7">
        <f t="shared" si="1"/>
        <v>30.133124239795386</v>
      </c>
      <c r="S29" s="7">
        <f t="shared" si="2"/>
        <v>4.9559139101685474</v>
      </c>
      <c r="T29" s="7">
        <f t="shared" si="3"/>
        <v>29.001795653060057</v>
      </c>
      <c r="U29" s="7">
        <f t="shared" si="4"/>
        <v>9.526579209431187</v>
      </c>
      <c r="V29" s="7">
        <f t="shared" si="5"/>
        <v>13.546734911433115</v>
      </c>
      <c r="W29" s="7">
        <f t="shared" si="6"/>
        <v>28.505538361203357</v>
      </c>
      <c r="X29" s="7">
        <f t="shared" si="7"/>
        <v>31.144287336151386</v>
      </c>
      <c r="Y29" s="7" t="e">
        <f t="shared" si="8"/>
        <v>#VALUE!</v>
      </c>
      <c r="Z29" s="7" t="e">
        <f t="shared" si="9"/>
        <v>#VALUE!</v>
      </c>
      <c r="AA29" s="7" t="e">
        <f t="shared" si="10"/>
        <v>#VALUE!</v>
      </c>
      <c r="AB29" s="7" t="e">
        <f t="shared" si="11"/>
        <v>#VALUE!</v>
      </c>
      <c r="AC29" s="7" t="e">
        <f t="shared" si="12"/>
        <v>#VALUE!</v>
      </c>
      <c r="AD29" s="7" t="e">
        <f t="shared" si="13"/>
        <v>#VALUE!</v>
      </c>
      <c r="AE29" s="7" t="e">
        <f t="shared" si="14"/>
        <v>#VALUE!</v>
      </c>
      <c r="AF29" s="7" t="e">
        <f t="shared" si="15"/>
        <v>#VALUE!</v>
      </c>
      <c r="AG29" s="7" t="e">
        <f t="shared" si="16"/>
        <v>#VALUE!</v>
      </c>
      <c r="AH29" s="7">
        <f t="shared" si="34"/>
        <v>28.647889756541161</v>
      </c>
      <c r="AJ29">
        <f t="shared" si="35"/>
        <v>520</v>
      </c>
      <c r="AK29" s="7">
        <f t="shared" si="17"/>
        <v>39.681053748231975</v>
      </c>
      <c r="AL29" s="7">
        <f t="shared" si="18"/>
        <v>15.017359656976319</v>
      </c>
      <c r="AM29" s="7">
        <f t="shared" si="19"/>
        <v>39.903408769448376</v>
      </c>
      <c r="AN29" s="7">
        <f t="shared" si="20"/>
        <v>18.72836548821541</v>
      </c>
      <c r="AO29" s="7">
        <f t="shared" si="21"/>
        <v>22.2004579326331</v>
      </c>
      <c r="AP29" s="7">
        <f t="shared" si="22"/>
        <v>38.947564356435649</v>
      </c>
      <c r="AQ29" s="7">
        <f t="shared" si="23"/>
        <v>42.036747638615964</v>
      </c>
      <c r="AR29" s="7" t="e">
        <f t="shared" si="24"/>
        <v>#VALUE!</v>
      </c>
      <c r="AS29" s="7" t="e">
        <f t="shared" si="25"/>
        <v>#VALUE!</v>
      </c>
      <c r="AT29" s="7" t="e">
        <f t="shared" si="26"/>
        <v>#VALUE!</v>
      </c>
      <c r="AU29" s="7" t="e">
        <f t="shared" si="27"/>
        <v>#VALUE!</v>
      </c>
      <c r="AV29" s="7" t="e">
        <f t="shared" si="28"/>
        <v>#VALUE!</v>
      </c>
      <c r="AW29" s="7" t="e">
        <f t="shared" si="29"/>
        <v>#VALUE!</v>
      </c>
      <c r="AX29" s="7" t="e">
        <f t="shared" si="30"/>
        <v>#VALUE!</v>
      </c>
      <c r="AY29" s="7" t="e">
        <f t="shared" si="31"/>
        <v>#VALUE!</v>
      </c>
      <c r="AZ29" s="7" t="e">
        <f t="shared" si="32"/>
        <v>#VALUE!</v>
      </c>
      <c r="BA29" s="7"/>
    </row>
    <row r="30" spans="1:53" x14ac:dyDescent="0.25">
      <c r="A30" t="s">
        <v>51</v>
      </c>
      <c r="C30" s="1"/>
      <c r="D30" t="e">
        <f>VLOOKUP($C30,Database!$A$3:$K$303,4,FALSE)</f>
        <v>#N/A</v>
      </c>
      <c r="E30" t="e">
        <f>VLOOKUP($C30,Database!$A$3:$K$303,5,FALSE)</f>
        <v>#N/A</v>
      </c>
      <c r="F30" t="e">
        <f>VLOOKUP($C30,Database!$A$3:$K$303,6,FALSE)</f>
        <v>#N/A</v>
      </c>
      <c r="G30" t="e">
        <f>VLOOKUP($C30,Database!$A$3:$K$303,7,FALSE)</f>
        <v>#N/A</v>
      </c>
      <c r="H30" t="e">
        <f>VLOOKUP($C30,Database!$A$3:$K$303,8,FALSE)</f>
        <v>#N/A</v>
      </c>
      <c r="I30" t="e">
        <f>VLOOKUP($C30,Database!$A$3:$K$303,9,FALSE)</f>
        <v>#N/A</v>
      </c>
      <c r="J30" t="e">
        <f>VLOOKUP($C30,Database!$A$3:$K$303,10,FALSE)</f>
        <v>#N/A</v>
      </c>
      <c r="K30" t="e">
        <f>VLOOKUP($C30,Database!$A$3:$K$303,11,FALSE)</f>
        <v>#N/A</v>
      </c>
      <c r="M30" t="e">
        <f t="shared" si="37"/>
        <v>#N/A</v>
      </c>
      <c r="N30" s="2" t="e">
        <f t="shared" si="38"/>
        <v>#N/A</v>
      </c>
      <c r="P30">
        <f t="shared" si="36"/>
        <v>13.5</v>
      </c>
      <c r="Q30">
        <f t="shared" si="33"/>
        <v>540</v>
      </c>
      <c r="R30" s="7">
        <f t="shared" si="1"/>
        <v>30.133124239795386</v>
      </c>
      <c r="S30" s="7">
        <f t="shared" si="2"/>
        <v>4.1331901554682364</v>
      </c>
      <c r="T30" s="7">
        <f t="shared" si="3"/>
        <v>29.001795653060057</v>
      </c>
      <c r="U30" s="7">
        <f t="shared" si="4"/>
        <v>8.6404237662490573</v>
      </c>
      <c r="V30" s="7">
        <f t="shared" si="5"/>
        <v>12.411314485929696</v>
      </c>
      <c r="W30" s="7">
        <f t="shared" si="6"/>
        <v>28.505538361203357</v>
      </c>
      <c r="X30" s="7">
        <f t="shared" si="7"/>
        <v>27.975966600846021</v>
      </c>
      <c r="Y30" s="7" t="e">
        <f t="shared" si="8"/>
        <v>#VALUE!</v>
      </c>
      <c r="Z30" s="7" t="e">
        <f t="shared" si="9"/>
        <v>#VALUE!</v>
      </c>
      <c r="AA30" s="7" t="e">
        <f t="shared" si="10"/>
        <v>#VALUE!</v>
      </c>
      <c r="AB30" s="7" t="e">
        <f t="shared" si="11"/>
        <v>#VALUE!</v>
      </c>
      <c r="AC30" s="7" t="e">
        <f t="shared" si="12"/>
        <v>#VALUE!</v>
      </c>
      <c r="AD30" s="7" t="e">
        <f t="shared" si="13"/>
        <v>#VALUE!</v>
      </c>
      <c r="AE30" s="7" t="e">
        <f t="shared" si="14"/>
        <v>#VALUE!</v>
      </c>
      <c r="AF30" s="7" t="e">
        <f t="shared" si="15"/>
        <v>#VALUE!</v>
      </c>
      <c r="AG30" s="7" t="e">
        <f t="shared" si="16"/>
        <v>#VALUE!</v>
      </c>
      <c r="AH30" s="7">
        <f t="shared" si="34"/>
        <v>28.647889756541161</v>
      </c>
      <c r="AJ30">
        <f t="shared" si="35"/>
        <v>540</v>
      </c>
      <c r="AK30" s="7">
        <f t="shared" si="17"/>
        <v>40.991863507779357</v>
      </c>
      <c r="AL30" s="7">
        <f t="shared" si="18"/>
        <v>14.693870267434271</v>
      </c>
      <c r="AM30" s="7">
        <f t="shared" si="19"/>
        <v>41.19200141442716</v>
      </c>
      <c r="AN30" s="7">
        <f t="shared" si="20"/>
        <v>18.34795808941157</v>
      </c>
      <c r="AO30" s="7">
        <f t="shared" si="21"/>
        <v>21.650895545128975</v>
      </c>
      <c r="AP30" s="7">
        <f t="shared" si="22"/>
        <v>40.145066831683174</v>
      </c>
      <c r="AQ30" s="7">
        <f t="shared" si="23"/>
        <v>40.133697251798125</v>
      </c>
      <c r="AR30" s="7" t="e">
        <f t="shared" si="24"/>
        <v>#VALUE!</v>
      </c>
      <c r="AS30" s="7" t="e">
        <f t="shared" si="25"/>
        <v>#VALUE!</v>
      </c>
      <c r="AT30" s="7" t="e">
        <f t="shared" si="26"/>
        <v>#VALUE!</v>
      </c>
      <c r="AU30" s="7" t="e">
        <f t="shared" si="27"/>
        <v>#VALUE!</v>
      </c>
      <c r="AV30" s="7" t="e">
        <f t="shared" si="28"/>
        <v>#VALUE!</v>
      </c>
      <c r="AW30" s="7" t="e">
        <f t="shared" si="29"/>
        <v>#VALUE!</v>
      </c>
      <c r="AX30" s="7" t="e">
        <f t="shared" si="30"/>
        <v>#VALUE!</v>
      </c>
      <c r="AY30" s="7" t="e">
        <f t="shared" si="31"/>
        <v>#VALUE!</v>
      </c>
      <c r="AZ30" s="7" t="e">
        <f t="shared" si="32"/>
        <v>#VALUE!</v>
      </c>
      <c r="BA30" s="7"/>
    </row>
    <row r="31" spans="1:53" x14ac:dyDescent="0.25">
      <c r="A31" t="s">
        <v>52</v>
      </c>
      <c r="C31" s="1"/>
      <c r="D31" t="e">
        <f>VLOOKUP($C31,Database!$A$3:$K$303,4,FALSE)</f>
        <v>#N/A</v>
      </c>
      <c r="E31" t="e">
        <f>VLOOKUP($C31,Database!$A$3:$K$303,5,FALSE)</f>
        <v>#N/A</v>
      </c>
      <c r="F31" t="e">
        <f>VLOOKUP($C31,Database!$A$3:$K$303,6,FALSE)</f>
        <v>#N/A</v>
      </c>
      <c r="G31" t="e">
        <f>VLOOKUP($C31,Database!$A$3:$K$303,7,FALSE)</f>
        <v>#N/A</v>
      </c>
      <c r="H31" t="e">
        <f>VLOOKUP($C31,Database!$A$3:$K$303,8,FALSE)</f>
        <v>#N/A</v>
      </c>
      <c r="I31" t="e">
        <f>VLOOKUP($C31,Database!$A$3:$K$303,9,FALSE)</f>
        <v>#N/A</v>
      </c>
      <c r="J31" t="e">
        <f>VLOOKUP($C31,Database!$A$3:$K$303,10,FALSE)</f>
        <v>#N/A</v>
      </c>
      <c r="K31" t="e">
        <f>VLOOKUP($C31,Database!$A$3:$K$303,11,FALSE)</f>
        <v>#N/A</v>
      </c>
      <c r="M31" t="e">
        <f t="shared" si="37"/>
        <v>#N/A</v>
      </c>
      <c r="N31" s="2" t="e">
        <f t="shared" si="38"/>
        <v>#N/A</v>
      </c>
      <c r="P31">
        <f t="shared" si="36"/>
        <v>14</v>
      </c>
      <c r="Q31">
        <f t="shared" si="33"/>
        <v>560</v>
      </c>
      <c r="R31" s="7">
        <f t="shared" si="1"/>
        <v>30.133124239795386</v>
      </c>
      <c r="S31" s="7">
        <f t="shared" si="2"/>
        <v>3.3669064342965012</v>
      </c>
      <c r="T31" s="7">
        <f t="shared" si="3"/>
        <v>29.001795653060057</v>
      </c>
      <c r="U31" s="7">
        <f t="shared" si="4"/>
        <v>7.8148590296318687</v>
      </c>
      <c r="V31" s="7">
        <f t="shared" si="5"/>
        <v>11.351903408803208</v>
      </c>
      <c r="W31" s="7">
        <f t="shared" si="6"/>
        <v>28.505538361203357</v>
      </c>
      <c r="X31" s="7">
        <f t="shared" si="7"/>
        <v>25.006545948361897</v>
      </c>
      <c r="Y31" s="7" t="e">
        <f t="shared" si="8"/>
        <v>#VALUE!</v>
      </c>
      <c r="Z31" s="7" t="e">
        <f t="shared" si="9"/>
        <v>#VALUE!</v>
      </c>
      <c r="AA31" s="7" t="e">
        <f t="shared" si="10"/>
        <v>#VALUE!</v>
      </c>
      <c r="AB31" s="7" t="e">
        <f t="shared" si="11"/>
        <v>#VALUE!</v>
      </c>
      <c r="AC31" s="7" t="e">
        <f t="shared" si="12"/>
        <v>#VALUE!</v>
      </c>
      <c r="AD31" s="7" t="e">
        <f t="shared" si="13"/>
        <v>#VALUE!</v>
      </c>
      <c r="AE31" s="7" t="e">
        <f t="shared" si="14"/>
        <v>#VALUE!</v>
      </c>
      <c r="AF31" s="7" t="e">
        <f t="shared" si="15"/>
        <v>#VALUE!</v>
      </c>
      <c r="AG31" s="7" t="e">
        <f t="shared" si="16"/>
        <v>#VALUE!</v>
      </c>
      <c r="AH31" s="7">
        <f t="shared" si="34"/>
        <v>28.647889756541161</v>
      </c>
      <c r="AJ31">
        <f t="shared" si="35"/>
        <v>560</v>
      </c>
      <c r="AK31" s="7">
        <f t="shared" si="17"/>
        <v>42.302673267326739</v>
      </c>
      <c r="AL31" s="7">
        <f t="shared" si="18"/>
        <v>14.384990803322971</v>
      </c>
      <c r="AM31" s="7">
        <f t="shared" si="19"/>
        <v>42.480594059405945</v>
      </c>
      <c r="AN31" s="7">
        <f t="shared" si="20"/>
        <v>17.991959019546069</v>
      </c>
      <c r="AO31" s="7">
        <f t="shared" si="21"/>
        <v>21.132113077326022</v>
      </c>
      <c r="AP31" s="7">
        <f t="shared" si="22"/>
        <v>41.342569306930699</v>
      </c>
      <c r="AQ31" s="7">
        <f t="shared" si="23"/>
        <v>38.289475814737266</v>
      </c>
      <c r="AR31" s="7" t="e">
        <f t="shared" si="24"/>
        <v>#VALUE!</v>
      </c>
      <c r="AS31" s="7" t="e">
        <f t="shared" si="25"/>
        <v>#VALUE!</v>
      </c>
      <c r="AT31" s="7" t="e">
        <f t="shared" si="26"/>
        <v>#VALUE!</v>
      </c>
      <c r="AU31" s="7" t="e">
        <f t="shared" si="27"/>
        <v>#VALUE!</v>
      </c>
      <c r="AV31" s="7" t="e">
        <f t="shared" si="28"/>
        <v>#VALUE!</v>
      </c>
      <c r="AW31" s="7" t="e">
        <f t="shared" si="29"/>
        <v>#VALUE!</v>
      </c>
      <c r="AX31" s="7" t="e">
        <f t="shared" si="30"/>
        <v>#VALUE!</v>
      </c>
      <c r="AY31" s="7" t="e">
        <f t="shared" si="31"/>
        <v>#VALUE!</v>
      </c>
      <c r="AZ31" s="7" t="e">
        <f t="shared" si="32"/>
        <v>#VALUE!</v>
      </c>
      <c r="BA31" s="7"/>
    </row>
    <row r="32" spans="1:53" x14ac:dyDescent="0.25">
      <c r="A32" t="s">
        <v>53</v>
      </c>
      <c r="C32" s="1"/>
      <c r="D32" t="e">
        <f>VLOOKUP($C32,Database!$A$3:$K$303,4,FALSE)</f>
        <v>#N/A</v>
      </c>
      <c r="E32" t="e">
        <f>VLOOKUP($C32,Database!$A$3:$K$303,5,FALSE)</f>
        <v>#N/A</v>
      </c>
      <c r="F32" t="e">
        <f>VLOOKUP($C32,Database!$A$3:$K$303,6,FALSE)</f>
        <v>#N/A</v>
      </c>
      <c r="G32" t="e">
        <f>VLOOKUP($C32,Database!$A$3:$K$303,7,FALSE)</f>
        <v>#N/A</v>
      </c>
      <c r="H32" t="e">
        <f>VLOOKUP($C32,Database!$A$3:$K$303,8,FALSE)</f>
        <v>#N/A</v>
      </c>
      <c r="I32" t="e">
        <f>VLOOKUP($C32,Database!$A$3:$K$303,9,FALSE)</f>
        <v>#N/A</v>
      </c>
      <c r="J32" t="e">
        <f>VLOOKUP($C32,Database!$A$3:$K$303,10,FALSE)</f>
        <v>#N/A</v>
      </c>
      <c r="K32" t="e">
        <f>VLOOKUP($C32,Database!$A$3:$K$303,11,FALSE)</f>
        <v>#N/A</v>
      </c>
      <c r="M32" t="e">
        <f t="shared" si="37"/>
        <v>#N/A</v>
      </c>
      <c r="N32" s="2" t="e">
        <f t="shared" si="38"/>
        <v>#N/A</v>
      </c>
      <c r="P32">
        <f t="shared" si="36"/>
        <v>14.5</v>
      </c>
      <c r="Q32">
        <f t="shared" si="33"/>
        <v>580</v>
      </c>
      <c r="R32" s="7">
        <f t="shared" si="1"/>
        <v>28.557505903875196</v>
      </c>
      <c r="S32" s="7">
        <f t="shared" si="2"/>
        <v>2.6514475506353659</v>
      </c>
      <c r="T32" s="7">
        <f t="shared" si="3"/>
        <v>27.368581919942315</v>
      </c>
      <c r="U32" s="7">
        <f t="shared" si="4"/>
        <v>7.0438761111545176</v>
      </c>
      <c r="V32" s="7">
        <f t="shared" si="5"/>
        <v>10.361116350079625</v>
      </c>
      <c r="W32" s="7">
        <f t="shared" si="6"/>
        <v>28.505538361203357</v>
      </c>
      <c r="X32" s="7">
        <f t="shared" si="7"/>
        <v>22.217865639698239</v>
      </c>
      <c r="Y32" s="7" t="e">
        <f t="shared" si="8"/>
        <v>#VALUE!</v>
      </c>
      <c r="Z32" s="7" t="e">
        <f t="shared" si="9"/>
        <v>#VALUE!</v>
      </c>
      <c r="AA32" s="7" t="e">
        <f t="shared" si="10"/>
        <v>#VALUE!</v>
      </c>
      <c r="AB32" s="7" t="e">
        <f t="shared" si="11"/>
        <v>#VALUE!</v>
      </c>
      <c r="AC32" s="7" t="e">
        <f t="shared" si="12"/>
        <v>#VALUE!</v>
      </c>
      <c r="AD32" s="7" t="e">
        <f t="shared" si="13"/>
        <v>#VALUE!</v>
      </c>
      <c r="AE32" s="7" t="e">
        <f t="shared" si="14"/>
        <v>#VALUE!</v>
      </c>
      <c r="AF32" s="7" t="e">
        <f t="shared" si="15"/>
        <v>#VALUE!</v>
      </c>
      <c r="AG32" s="7" t="e">
        <f t="shared" si="16"/>
        <v>#VALUE!</v>
      </c>
      <c r="AH32" s="7">
        <f t="shared" si="34"/>
        <v>28.647889756541161</v>
      </c>
      <c r="AJ32">
        <f t="shared" si="35"/>
        <v>580</v>
      </c>
      <c r="AK32" s="7">
        <f t="shared" si="17"/>
        <v>41.763096751400774</v>
      </c>
      <c r="AL32" s="7">
        <f t="shared" si="18"/>
        <v>14.088625843659585</v>
      </c>
      <c r="AM32" s="7">
        <f t="shared" si="19"/>
        <v>41.781765364890411</v>
      </c>
      <c r="AN32" s="7">
        <f t="shared" si="20"/>
        <v>17.656974492277673</v>
      </c>
      <c r="AO32" s="7">
        <f t="shared" si="21"/>
        <v>20.639781581530446</v>
      </c>
      <c r="AP32" s="7">
        <f t="shared" si="22"/>
        <v>42.540071782178224</v>
      </c>
      <c r="AQ32" s="7">
        <f t="shared" si="23"/>
        <v>36.494966219412703</v>
      </c>
      <c r="AR32" s="7" t="e">
        <f t="shared" si="24"/>
        <v>#VALUE!</v>
      </c>
      <c r="AS32" s="7" t="e">
        <f t="shared" si="25"/>
        <v>#VALUE!</v>
      </c>
      <c r="AT32" s="7" t="e">
        <f t="shared" si="26"/>
        <v>#VALUE!</v>
      </c>
      <c r="AU32" s="7" t="e">
        <f t="shared" si="27"/>
        <v>#VALUE!</v>
      </c>
      <c r="AV32" s="7" t="e">
        <f t="shared" si="28"/>
        <v>#VALUE!</v>
      </c>
      <c r="AW32" s="7" t="e">
        <f t="shared" si="29"/>
        <v>#VALUE!</v>
      </c>
      <c r="AX32" s="7" t="e">
        <f t="shared" si="30"/>
        <v>#VALUE!</v>
      </c>
      <c r="AY32" s="7" t="e">
        <f t="shared" si="31"/>
        <v>#VALUE!</v>
      </c>
      <c r="AZ32" s="7" t="e">
        <f t="shared" si="32"/>
        <v>#VALUE!</v>
      </c>
      <c r="BA32" s="7"/>
    </row>
    <row r="33" spans="1:53" x14ac:dyDescent="0.25">
      <c r="A33" t="s">
        <v>54</v>
      </c>
      <c r="C33" s="1"/>
      <c r="D33" t="e">
        <f>VLOOKUP($C33,Database!$A$3:$K$303,4,FALSE)</f>
        <v>#N/A</v>
      </c>
      <c r="E33" t="e">
        <f>VLOOKUP($C33,Database!$A$3:$K$303,5,FALSE)</f>
        <v>#N/A</v>
      </c>
      <c r="F33" t="e">
        <f>VLOOKUP($C33,Database!$A$3:$K$303,6,FALSE)</f>
        <v>#N/A</v>
      </c>
      <c r="G33" t="e">
        <f>VLOOKUP($C33,Database!$A$3:$K$303,7,FALSE)</f>
        <v>#N/A</v>
      </c>
      <c r="H33" t="e">
        <f>VLOOKUP($C33,Database!$A$3:$K$303,8,FALSE)</f>
        <v>#N/A</v>
      </c>
      <c r="I33" t="e">
        <f>VLOOKUP($C33,Database!$A$3:$K$303,9,FALSE)</f>
        <v>#N/A</v>
      </c>
      <c r="J33" t="e">
        <f>VLOOKUP($C33,Database!$A$3:$K$303,10,FALSE)</f>
        <v>#N/A</v>
      </c>
      <c r="K33" t="e">
        <f>VLOOKUP($C33,Database!$A$3:$K$303,11,FALSE)</f>
        <v>#N/A</v>
      </c>
      <c r="M33" t="e">
        <f t="shared" si="37"/>
        <v>#N/A</v>
      </c>
      <c r="N33" s="2" t="e">
        <f t="shared" si="38"/>
        <v>#N/A</v>
      </c>
      <c r="P33">
        <f t="shared" si="36"/>
        <v>15</v>
      </c>
      <c r="Q33">
        <f t="shared" si="33"/>
        <v>600</v>
      </c>
      <c r="R33" s="7">
        <f t="shared" si="1"/>
        <v>26.459688989821849</v>
      </c>
      <c r="S33" s="7">
        <f t="shared" si="2"/>
        <v>1.9819192704895272</v>
      </c>
      <c r="T33" s="7">
        <f t="shared" si="3"/>
        <v>25.349532455425965</v>
      </c>
      <c r="U33" s="7">
        <f t="shared" si="4"/>
        <v>6.3222352468196803</v>
      </c>
      <c r="V33" s="7">
        <f t="shared" si="5"/>
        <v>9.4324947427405181</v>
      </c>
      <c r="W33" s="7">
        <f t="shared" si="6"/>
        <v>28.505538361203357</v>
      </c>
      <c r="X33" s="7">
        <f t="shared" si="7"/>
        <v>19.593911309612899</v>
      </c>
      <c r="Y33" s="7" t="e">
        <f t="shared" si="8"/>
        <v>#VALUE!</v>
      </c>
      <c r="Z33" s="7" t="e">
        <f t="shared" si="9"/>
        <v>#VALUE!</v>
      </c>
      <c r="AA33" s="7" t="e">
        <f t="shared" si="10"/>
        <v>#VALUE!</v>
      </c>
      <c r="AB33" s="7" t="e">
        <f t="shared" si="11"/>
        <v>#VALUE!</v>
      </c>
      <c r="AC33" s="7" t="e">
        <f t="shared" si="12"/>
        <v>#VALUE!</v>
      </c>
      <c r="AD33" s="7" t="e">
        <f t="shared" si="13"/>
        <v>#VALUE!</v>
      </c>
      <c r="AE33" s="7" t="e">
        <f t="shared" si="14"/>
        <v>#VALUE!</v>
      </c>
      <c r="AF33" s="7" t="e">
        <f t="shared" si="15"/>
        <v>#VALUE!</v>
      </c>
      <c r="AG33" s="7" t="e">
        <f t="shared" si="16"/>
        <v>#VALUE!</v>
      </c>
      <c r="AH33" s="7">
        <f t="shared" si="34"/>
        <v>28.647889756541161</v>
      </c>
      <c r="AJ33">
        <f t="shared" si="35"/>
        <v>600</v>
      </c>
      <c r="AK33" s="7">
        <f t="shared" si="17"/>
        <v>40.519642784789987</v>
      </c>
      <c r="AL33" s="7">
        <f t="shared" si="18"/>
        <v>13.803028777990269</v>
      </c>
      <c r="AM33" s="7">
        <f t="shared" si="19"/>
        <v>40.526735865324227</v>
      </c>
      <c r="AN33" s="7">
        <f t="shared" si="20"/>
        <v>17.340165695906535</v>
      </c>
      <c r="AO33" s="7">
        <f t="shared" si="21"/>
        <v>20.170278003164189</v>
      </c>
      <c r="AP33" s="7">
        <f t="shared" si="22"/>
        <v>43.737574257425749</v>
      </c>
      <c r="AQ33" s="7">
        <f t="shared" si="23"/>
        <v>34.742557919584058</v>
      </c>
      <c r="AR33" s="7" t="e">
        <f t="shared" si="24"/>
        <v>#VALUE!</v>
      </c>
      <c r="AS33" s="7" t="e">
        <f t="shared" si="25"/>
        <v>#VALUE!</v>
      </c>
      <c r="AT33" s="7" t="e">
        <f t="shared" si="26"/>
        <v>#VALUE!</v>
      </c>
      <c r="AU33" s="7" t="e">
        <f t="shared" si="27"/>
        <v>#VALUE!</v>
      </c>
      <c r="AV33" s="7" t="e">
        <f t="shared" si="28"/>
        <v>#VALUE!</v>
      </c>
      <c r="AW33" s="7" t="e">
        <f t="shared" si="29"/>
        <v>#VALUE!</v>
      </c>
      <c r="AX33" s="7" t="e">
        <f t="shared" si="30"/>
        <v>#VALUE!</v>
      </c>
      <c r="AY33" s="7" t="e">
        <f t="shared" si="31"/>
        <v>#VALUE!</v>
      </c>
      <c r="AZ33" s="7" t="e">
        <f t="shared" si="32"/>
        <v>#VALUE!</v>
      </c>
      <c r="BA33" s="7"/>
    </row>
    <row r="34" spans="1:53" x14ac:dyDescent="0.25">
      <c r="A34" t="s">
        <v>55</v>
      </c>
      <c r="C34" s="1"/>
      <c r="D34" t="e">
        <f>VLOOKUP($C34,Database!$A$3:$K$303,4,FALSE)</f>
        <v>#N/A</v>
      </c>
      <c r="E34" t="e">
        <f>VLOOKUP($C34,Database!$A$3:$K$303,5,FALSE)</f>
        <v>#N/A</v>
      </c>
      <c r="F34" t="e">
        <f>VLOOKUP($C34,Database!$A$3:$K$303,6,FALSE)</f>
        <v>#N/A</v>
      </c>
      <c r="G34" t="e">
        <f>VLOOKUP($C34,Database!$A$3:$K$303,7,FALSE)</f>
        <v>#N/A</v>
      </c>
      <c r="H34" t="e">
        <f>VLOOKUP($C34,Database!$A$3:$K$303,8,FALSE)</f>
        <v>#N/A</v>
      </c>
      <c r="I34" t="e">
        <f>VLOOKUP($C34,Database!$A$3:$K$303,9,FALSE)</f>
        <v>#N/A</v>
      </c>
      <c r="J34" t="e">
        <f>VLOOKUP($C34,Database!$A$3:$K$303,10,FALSE)</f>
        <v>#N/A</v>
      </c>
      <c r="K34" t="e">
        <f>VLOOKUP($C34,Database!$A$3:$K$303,11,FALSE)</f>
        <v>#N/A</v>
      </c>
      <c r="M34" t="e">
        <f t="shared" si="37"/>
        <v>#N/A</v>
      </c>
      <c r="N34" s="2" t="e">
        <f t="shared" si="38"/>
        <v>#N/A</v>
      </c>
      <c r="P34">
        <f t="shared" si="36"/>
        <v>15.5</v>
      </c>
      <c r="Q34">
        <f t="shared" si="33"/>
        <v>620</v>
      </c>
      <c r="R34" s="7">
        <f t="shared" si="1"/>
        <v>24.485378487457027</v>
      </c>
      <c r="S34" s="7">
        <f t="shared" si="2"/>
        <v>1.354036210780535</v>
      </c>
      <c r="T34" s="7">
        <f t="shared" si="3"/>
        <v>23.447885267741434</v>
      </c>
      <c r="U34" s="7">
        <f t="shared" si="4"/>
        <v>5.6453465549571504</v>
      </c>
      <c r="V34" s="7">
        <f t="shared" si="5"/>
        <v>8.5603658336551494</v>
      </c>
      <c r="W34" s="7">
        <f t="shared" si="6"/>
        <v>28.505538361203357</v>
      </c>
      <c r="X34" s="7">
        <f t="shared" si="7"/>
        <v>17.120506239817793</v>
      </c>
      <c r="Y34" s="7" t="e">
        <f t="shared" si="8"/>
        <v>#VALUE!</v>
      </c>
      <c r="Z34" s="7" t="e">
        <f t="shared" si="9"/>
        <v>#VALUE!</v>
      </c>
      <c r="AA34" s="7" t="e">
        <f t="shared" si="10"/>
        <v>#VALUE!</v>
      </c>
      <c r="AB34" s="7" t="e">
        <f t="shared" si="11"/>
        <v>#VALUE!</v>
      </c>
      <c r="AC34" s="7" t="e">
        <f t="shared" si="12"/>
        <v>#VALUE!</v>
      </c>
      <c r="AD34" s="7" t="e">
        <f t="shared" si="13"/>
        <v>#VALUE!</v>
      </c>
      <c r="AE34" s="7" t="e">
        <f t="shared" si="14"/>
        <v>#VALUE!</v>
      </c>
      <c r="AF34" s="7" t="e">
        <f t="shared" si="15"/>
        <v>#VALUE!</v>
      </c>
      <c r="AG34" s="7" t="e">
        <f t="shared" si="16"/>
        <v>#VALUE!</v>
      </c>
      <c r="AH34" s="7">
        <f t="shared" si="34"/>
        <v>28.647889756541161</v>
      </c>
      <c r="AJ34">
        <f t="shared" si="35"/>
        <v>620</v>
      </c>
      <c r="AK34" s="7">
        <f t="shared" si="17"/>
        <v>39.321587430046179</v>
      </c>
      <c r="AL34" s="7">
        <f t="shared" si="18"/>
        <v>13.526735547099372</v>
      </c>
      <c r="AM34" s="7">
        <f t="shared" si="19"/>
        <v>39.321819693155675</v>
      </c>
      <c r="AN34" s="7">
        <f t="shared" si="20"/>
        <v>17.039144638007688</v>
      </c>
      <c r="AO34" s="7">
        <f t="shared" si="21"/>
        <v>19.720553836224028</v>
      </c>
      <c r="AP34" s="7">
        <f t="shared" si="22"/>
        <v>44.935076732673274</v>
      </c>
      <c r="AQ34" s="7">
        <f t="shared" si="23"/>
        <v>33.025870997883196</v>
      </c>
      <c r="AR34" s="7" t="e">
        <f t="shared" si="24"/>
        <v>#VALUE!</v>
      </c>
      <c r="AS34" s="7" t="e">
        <f t="shared" si="25"/>
        <v>#VALUE!</v>
      </c>
      <c r="AT34" s="7" t="e">
        <f t="shared" si="26"/>
        <v>#VALUE!</v>
      </c>
      <c r="AU34" s="7" t="e">
        <f t="shared" si="27"/>
        <v>#VALUE!</v>
      </c>
      <c r="AV34" s="7" t="e">
        <f t="shared" si="28"/>
        <v>#VALUE!</v>
      </c>
      <c r="AW34" s="7" t="e">
        <f t="shared" si="29"/>
        <v>#VALUE!</v>
      </c>
      <c r="AX34" s="7" t="e">
        <f t="shared" si="30"/>
        <v>#VALUE!</v>
      </c>
      <c r="AY34" s="7" t="e">
        <f t="shared" si="31"/>
        <v>#VALUE!</v>
      </c>
      <c r="AZ34" s="7" t="e">
        <f t="shared" si="32"/>
        <v>#VALUE!</v>
      </c>
      <c r="BA34" s="7"/>
    </row>
    <row r="35" spans="1:53" x14ac:dyDescent="0.25">
      <c r="A35" t="s">
        <v>56</v>
      </c>
      <c r="C35" s="1"/>
      <c r="D35" t="e">
        <f>VLOOKUP($C35,Database!$A$3:$K$303,4,FALSE)</f>
        <v>#N/A</v>
      </c>
      <c r="E35" t="e">
        <f>VLOOKUP($C35,Database!$A$3:$K$303,5,FALSE)</f>
        <v>#N/A</v>
      </c>
      <c r="F35" t="e">
        <f>VLOOKUP($C35,Database!$A$3:$K$303,6,FALSE)</f>
        <v>#N/A</v>
      </c>
      <c r="G35" t="e">
        <f>VLOOKUP($C35,Database!$A$3:$K$303,7,FALSE)</f>
        <v>#N/A</v>
      </c>
      <c r="H35" t="e">
        <f>VLOOKUP($C35,Database!$A$3:$K$303,8,FALSE)</f>
        <v>#N/A</v>
      </c>
      <c r="I35" t="e">
        <f>VLOOKUP($C35,Database!$A$3:$K$303,9,FALSE)</f>
        <v>#N/A</v>
      </c>
      <c r="J35" t="e">
        <f>VLOOKUP($C35,Database!$A$3:$K$303,10,FALSE)</f>
        <v>#N/A</v>
      </c>
      <c r="K35" t="e">
        <f>VLOOKUP($C35,Database!$A$3:$K$303,11,FALSE)</f>
        <v>#N/A</v>
      </c>
      <c r="M35" t="e">
        <f t="shared" si="37"/>
        <v>#N/A</v>
      </c>
      <c r="N35" s="2" t="e">
        <f t="shared" si="38"/>
        <v>#N/A</v>
      </c>
      <c r="P35">
        <f t="shared" si="36"/>
        <v>16</v>
      </c>
      <c r="Q35">
        <f t="shared" si="33"/>
        <v>640</v>
      </c>
      <c r="R35" s="7">
        <f t="shared" ref="R35:R66" si="39">SingleCoilTorque($F$23,$G$23,$H$23,$I$23,$J$23,$K$23,$C$2,$M$23,$P35)-$N$23</f>
        <v>22.623979348080326</v>
      </c>
      <c r="S35" s="7">
        <f t="shared" ref="S35:S66" si="40">SingleCoilTorque($F$24,$G$24,$H$24,$I$24,$J$24,$K$24,$C$2,$M$24,$P35)-$N$24</f>
        <v>0.7640300174522654</v>
      </c>
      <c r="T35" s="7">
        <f t="shared" ref="T35:T66" si="41">SingleCoilTorque($F$25,$G$25,$H$25,$I$25,$J$25,$K$25,$C$2,$M$25,$P35)-$N$25</f>
        <v>21.65368971994571</v>
      </c>
      <c r="U35" s="7">
        <f t="shared" ref="U35:U66" si="42">SingleCoilTorque($F$26,$G$26,$H$26,$I$26,$J$26,$K$26,$C$2,$M$26,$P35)-$N$26</f>
        <v>5.0091723111452264</v>
      </c>
      <c r="V35" s="7">
        <f t="shared" ref="V35:V66" si="43">SingleCoilTorque($F$27,$G$27,$H$27,$I$27,$J$27,$K$27,$C$2,$M$27,$P35)-$N$27</f>
        <v>7.7397266990641551</v>
      </c>
      <c r="W35" s="7">
        <f t="shared" ref="W35:W66" si="44">SingleCoilTorque($F$28,$G$28,$H$28,$I$28,$J$28,$K$28,$C$2,$M$28,$P35)-$N$28</f>
        <v>28.505538361203357</v>
      </c>
      <c r="X35" s="7">
        <f t="shared" ref="X35:X66" si="45">SingleCoilTorque($F$29,$G$29,$H$29,$I$29,$J$29,$K$29,$C$2,$M$29,$P35)-$N$29</f>
        <v>14.785055122481776</v>
      </c>
      <c r="Y35" s="7" t="e">
        <f t="shared" ref="Y35:Y66" si="46">SingleCoilTorque($F$30,$G$30,$H$30,$I$30,$J$30,$K$30,$C$2,$M$30,$P35)-$N$30</f>
        <v>#VALUE!</v>
      </c>
      <c r="Z35" s="7" t="e">
        <f t="shared" ref="Z35:Z66" si="47">SingleCoilTorque($F$31,$G$31,$H$31,$I$31,$J$31,$K$31,$C$2,$M$31,$P35)-$N$31</f>
        <v>#VALUE!</v>
      </c>
      <c r="AA35" s="7" t="e">
        <f t="shared" ref="AA35:AA66" si="48">SingleCoilTorque($F$32,$G$32,$H$32,$I$32,$J$32,$K$32,$C$2,$M$32,$P35)-$N$32</f>
        <v>#VALUE!</v>
      </c>
      <c r="AB35" s="7" t="e">
        <f t="shared" ref="AB35:AB66" si="49">SingleCoilTorque($F$33,$G$33,$H$33,$I$33,$J$33,$K$33,$C$2,$M$33,$P35)-$N$33</f>
        <v>#VALUE!</v>
      </c>
      <c r="AC35" s="7" t="e">
        <f t="shared" ref="AC35:AC66" si="50">SingleCoilTorque($F$34,$G$34,$H$34,$I$34,$J$34,$K$34,$C$2,$M$34,$P35)-$N$34</f>
        <v>#VALUE!</v>
      </c>
      <c r="AD35" s="7" t="e">
        <f t="shared" ref="AD35:AD66" si="51">SingleCoilTorque($F$35,$G$35,$H$35,$I$35,$J$35,$K$35,$C$2,$M$35,$P35)-$N$35</f>
        <v>#VALUE!</v>
      </c>
      <c r="AE35" s="7" t="e">
        <f t="shared" ref="AE35:AE66" si="52">SingleCoilTorque($F$36,$G$36,$H$36,$I$36,$J$36,$K$36,$C$2,$M$36,$P35)-$N$36</f>
        <v>#VALUE!</v>
      </c>
      <c r="AF35" s="7" t="e">
        <f t="shared" ref="AF35:AF66" si="53">SingleCoilTorque($F$37,$G$37,$H$37,$I$37,$J$37,$K$37,$C$2,$M$37,$P35)-$N$37</f>
        <v>#VALUE!</v>
      </c>
      <c r="AG35" s="7" t="e">
        <f t="shared" ref="AG35:AG66" si="54">SingleCoilTorque($F$38,$G$38,$H$38,$I$38,$J$38,$K$38,$C$2,$M$38,$P35)-$N$38</f>
        <v>#VALUE!</v>
      </c>
      <c r="AH35" s="7">
        <f t="shared" si="34"/>
        <v>28.647889756541161</v>
      </c>
      <c r="AJ35">
        <f t="shared" si="35"/>
        <v>640</v>
      </c>
      <c r="AK35" s="7">
        <f t="shared" ref="AK35:AK66" si="55">StepperPower($F$23,$G$23,$H$23,$I$23,$J$23,$K$23,$C$2,$M$23,$P35)</f>
        <v>38.16288121746863</v>
      </c>
      <c r="AL35" s="7">
        <f t="shared" ref="AL35:AL66" si="56">StepperPower($F$24,$G$24,$H$24,$I$24,$J$24,$K$24,$C$2,$M$24,$P35)</f>
        <v>13.258512484374405</v>
      </c>
      <c r="AM35" s="7">
        <f t="shared" ref="AM35:AM66" si="57">StepperPower($F$25,$G$25,$H$25,$I$25,$J$25,$K$25,$C$2,$M$25,$P35)</f>
        <v>38.160433560644954</v>
      </c>
      <c r="AN35" s="7">
        <f t="shared" ref="AN35:AN66" si="58">StepperPower($F$26,$G$26,$H$26,$I$26,$J$26,$K$26,$C$2,$M$26,$P35)</f>
        <v>16.751891955087665</v>
      </c>
      <c r="AO35" s="7">
        <f t="shared" ref="AO35:AO66" si="59">StepperPower($F$27,$G$27,$H$27,$I$27,$J$27,$K$27,$C$2,$M$27,$P35)</f>
        <v>19.288031165268684</v>
      </c>
      <c r="AP35" s="7">
        <f t="shared" ref="AP35:AP66" si="60">StepperPower($F$28,$G$28,$H$28,$I$28,$J$28,$K$28,$C$2,$M$28,$P35)</f>
        <v>46.132579207920799</v>
      </c>
      <c r="AQ35" s="7">
        <f t="shared" ref="AQ35:AQ66" si="61">StepperPower($F$29,$G$29,$H$29,$I$29,$J$29,$K$29,$C$2,$M$29,$P35)</f>
        <v>31.339536136079609</v>
      </c>
      <c r="AR35" s="7" t="e">
        <f t="shared" ref="AR35:AR66" si="62">StepperPower($F$30,$G$30,$H$30,$I$30,$J$30,$K$30,$C$2,$M$30,$P35)</f>
        <v>#VALUE!</v>
      </c>
      <c r="AS35" s="7" t="e">
        <f t="shared" ref="AS35:AS66" si="63">StepperPower($F$31,$G$31,$H$31,$I$31,$J$31,$K$31,$C$2,$M$31,$P35)</f>
        <v>#VALUE!</v>
      </c>
      <c r="AT35" s="7" t="e">
        <f t="shared" ref="AT35:AT66" si="64">StepperPower($F$32,$G$32,$H$32,$I$32,$J$32,$K$32,$C$2,$M$32,$P35)</f>
        <v>#VALUE!</v>
      </c>
      <c r="AU35" s="7" t="e">
        <f t="shared" ref="AU35:AU66" si="65">StepperPower($F$33,$G$33,$H$33,$I$33,$J$33,$K$33,$C$2,$M$33,$P35)</f>
        <v>#VALUE!</v>
      </c>
      <c r="AV35" s="7" t="e">
        <f t="shared" ref="AV35:AV66" si="66">StepperPower($F$34,$G$34,$H$34,$I$34,$J$34,$K$34,$C$2,$M$34,$P35)</f>
        <v>#VALUE!</v>
      </c>
      <c r="AW35" s="7" t="e">
        <f t="shared" ref="AW35:AW66" si="67">StepperPower($F$35,$G$35,$H$35,$I$35,$J$35,$K$35,$C$2,$M$35,$P35)</f>
        <v>#VALUE!</v>
      </c>
      <c r="AX35" s="7" t="e">
        <f t="shared" ref="AX35:AX66" si="68">StepperPower($F$36,$G$36,$H$36,$I$36,$J$36,$K$36,$C$2,$M$36,$P35)</f>
        <v>#VALUE!</v>
      </c>
      <c r="AY35" s="7" t="e">
        <f t="shared" ref="AY35:AY66" si="69">StepperPower($F$37,$G$37,$H$37,$I$37,$J$37,$K$37,$C$2,$M$37,$P35)</f>
        <v>#VALUE!</v>
      </c>
      <c r="AZ35" s="7" t="e">
        <f t="shared" ref="AZ35:AZ66" si="70">StepperPower($F$38,$G$38,$H$38,$I$38,$J$38,$K$38,$C$2,$M$38,$P35)</f>
        <v>#VALUE!</v>
      </c>
      <c r="BA35" s="7"/>
    </row>
    <row r="36" spans="1:53" x14ac:dyDescent="0.25">
      <c r="A36" t="s">
        <v>57</v>
      </c>
      <c r="C36" s="1"/>
      <c r="D36" t="e">
        <f>VLOOKUP($C36,Database!$A$3:$K$303,4,FALSE)</f>
        <v>#N/A</v>
      </c>
      <c r="E36" t="e">
        <f>VLOOKUP($C36,Database!$A$3:$K$303,5,FALSE)</f>
        <v>#N/A</v>
      </c>
      <c r="F36" t="e">
        <f>VLOOKUP($C36,Database!$A$3:$K$303,6,FALSE)</f>
        <v>#N/A</v>
      </c>
      <c r="G36" t="e">
        <f>VLOOKUP($C36,Database!$A$3:$K$303,7,FALSE)</f>
        <v>#N/A</v>
      </c>
      <c r="H36" t="e">
        <f>VLOOKUP($C36,Database!$A$3:$K$303,8,FALSE)</f>
        <v>#N/A</v>
      </c>
      <c r="I36" t="e">
        <f>VLOOKUP($C36,Database!$A$3:$K$303,9,FALSE)</f>
        <v>#N/A</v>
      </c>
      <c r="J36" t="e">
        <f>VLOOKUP($C36,Database!$A$3:$K$303,10,FALSE)</f>
        <v>#N/A</v>
      </c>
      <c r="K36" t="e">
        <f>VLOOKUP($C36,Database!$A$3:$K$303,11,FALSE)</f>
        <v>#N/A</v>
      </c>
      <c r="M36" t="e">
        <f t="shared" si="37"/>
        <v>#N/A</v>
      </c>
      <c r="N36" s="2" t="e">
        <f t="shared" si="38"/>
        <v>#N/A</v>
      </c>
      <c r="P36">
        <f t="shared" si="36"/>
        <v>16.5</v>
      </c>
      <c r="Q36">
        <f t="shared" si="33"/>
        <v>660</v>
      </c>
      <c r="R36" s="7">
        <f t="shared" si="39"/>
        <v>20.866074700370085</v>
      </c>
      <c r="S36" s="7">
        <f t="shared" si="40"/>
        <v>0.20857367442090435</v>
      </c>
      <c r="T36" s="7">
        <f t="shared" si="41"/>
        <v>19.958088789718939</v>
      </c>
      <c r="U36" s="7">
        <f t="shared" si="42"/>
        <v>4.4101463425839746</v>
      </c>
      <c r="V36" s="7">
        <f t="shared" si="43"/>
        <v>6.9661482139251607</v>
      </c>
      <c r="W36" s="7">
        <f t="shared" si="44"/>
        <v>28.505538361203357</v>
      </c>
      <c r="X36" s="7">
        <f t="shared" si="45"/>
        <v>12.576329535211254</v>
      </c>
      <c r="Y36" s="7" t="e">
        <f t="shared" si="46"/>
        <v>#VALUE!</v>
      </c>
      <c r="Z36" s="7" t="e">
        <f t="shared" si="47"/>
        <v>#VALUE!</v>
      </c>
      <c r="AA36" s="7" t="e">
        <f t="shared" si="48"/>
        <v>#VALUE!</v>
      </c>
      <c r="AB36" s="7" t="e">
        <f t="shared" si="49"/>
        <v>#VALUE!</v>
      </c>
      <c r="AC36" s="7" t="e">
        <f t="shared" si="50"/>
        <v>#VALUE!</v>
      </c>
      <c r="AD36" s="7" t="e">
        <f t="shared" si="51"/>
        <v>#VALUE!</v>
      </c>
      <c r="AE36" s="7" t="e">
        <f t="shared" si="52"/>
        <v>#VALUE!</v>
      </c>
      <c r="AF36" s="7" t="e">
        <f t="shared" si="53"/>
        <v>#VALUE!</v>
      </c>
      <c r="AG36" s="7" t="e">
        <f t="shared" si="54"/>
        <v>#VALUE!</v>
      </c>
      <c r="AH36" s="7">
        <f t="shared" si="34"/>
        <v>28.647889756541161</v>
      </c>
      <c r="AJ36">
        <f t="shared" si="35"/>
        <v>660</v>
      </c>
      <c r="AK36" s="7">
        <f t="shared" si="55"/>
        <v>37.03838035112031</v>
      </c>
      <c r="AL36" s="7">
        <f t="shared" si="56"/>
        <v>12.997314948152471</v>
      </c>
      <c r="AM36" s="7">
        <f t="shared" si="57"/>
        <v>37.036967374583632</v>
      </c>
      <c r="AN36" s="7">
        <f t="shared" si="58"/>
        <v>16.476691569101622</v>
      </c>
      <c r="AO36" s="7">
        <f t="shared" si="59"/>
        <v>18.870519793295188</v>
      </c>
      <c r="AP36" s="7">
        <f t="shared" si="60"/>
        <v>47.330081683168324</v>
      </c>
      <c r="AQ36" s="7">
        <f t="shared" si="61"/>
        <v>29.679018073356819</v>
      </c>
      <c r="AR36" s="7" t="e">
        <f t="shared" si="62"/>
        <v>#VALUE!</v>
      </c>
      <c r="AS36" s="7" t="e">
        <f t="shared" si="63"/>
        <v>#VALUE!</v>
      </c>
      <c r="AT36" s="7" t="e">
        <f t="shared" si="64"/>
        <v>#VALUE!</v>
      </c>
      <c r="AU36" s="7" t="e">
        <f t="shared" si="65"/>
        <v>#VALUE!</v>
      </c>
      <c r="AV36" s="7" t="e">
        <f t="shared" si="66"/>
        <v>#VALUE!</v>
      </c>
      <c r="AW36" s="7" t="e">
        <f t="shared" si="67"/>
        <v>#VALUE!</v>
      </c>
      <c r="AX36" s="7" t="e">
        <f t="shared" si="68"/>
        <v>#VALUE!</v>
      </c>
      <c r="AY36" s="7" t="e">
        <f t="shared" si="69"/>
        <v>#VALUE!</v>
      </c>
      <c r="AZ36" s="7" t="e">
        <f t="shared" si="70"/>
        <v>#VALUE!</v>
      </c>
      <c r="BA36" s="7"/>
    </row>
    <row r="37" spans="1:53" x14ac:dyDescent="0.25">
      <c r="A37" t="s">
        <v>58</v>
      </c>
      <c r="C37" s="1"/>
      <c r="D37" t="e">
        <f>VLOOKUP($C37,Database!$A$3:$K$303,4,FALSE)</f>
        <v>#N/A</v>
      </c>
      <c r="E37" t="e">
        <f>VLOOKUP($C37,Database!$A$3:$K$303,5,FALSE)</f>
        <v>#N/A</v>
      </c>
      <c r="F37" t="e">
        <f>VLOOKUP($C37,Database!$A$3:$K$303,6,FALSE)</f>
        <v>#N/A</v>
      </c>
      <c r="G37" t="e">
        <f>VLOOKUP($C37,Database!$A$3:$K$303,7,FALSE)</f>
        <v>#N/A</v>
      </c>
      <c r="H37" t="e">
        <f>VLOOKUP($C37,Database!$A$3:$K$303,8,FALSE)</f>
        <v>#N/A</v>
      </c>
      <c r="I37" t="e">
        <f>VLOOKUP($C37,Database!$A$3:$K$303,9,FALSE)</f>
        <v>#N/A</v>
      </c>
      <c r="J37" t="e">
        <f>VLOOKUP($C37,Database!$A$3:$K$303,10,FALSE)</f>
        <v>#N/A</v>
      </c>
      <c r="K37" t="e">
        <f>VLOOKUP($C37,Database!$A$3:$K$303,11,FALSE)</f>
        <v>#N/A</v>
      </c>
      <c r="M37" t="e">
        <f t="shared" si="37"/>
        <v>#N/A</v>
      </c>
      <c r="N37" s="2" t="e">
        <f t="shared" si="38"/>
        <v>#N/A</v>
      </c>
      <c r="P37">
        <f t="shared" si="36"/>
        <v>17</v>
      </c>
      <c r="Q37">
        <f t="shared" si="33"/>
        <v>680</v>
      </c>
      <c r="R37" s="7">
        <f t="shared" si="39"/>
        <v>19.203266512250892</v>
      </c>
      <c r="S37" s="7">
        <f t="shared" si="40"/>
        <v>-0.31528126867505435</v>
      </c>
      <c r="T37" s="7">
        <f t="shared" si="41"/>
        <v>18.353172846238142</v>
      </c>
      <c r="U37" s="7">
        <f t="shared" si="42"/>
        <v>3.8451071423650358</v>
      </c>
      <c r="V37" s="7">
        <f t="shared" si="43"/>
        <v>6.2356950817718015</v>
      </c>
      <c r="W37" s="7">
        <f t="shared" si="44"/>
        <v>28.505538361203357</v>
      </c>
      <c r="X37" s="7">
        <f t="shared" si="45"/>
        <v>10.484287415079788</v>
      </c>
      <c r="Y37" s="7" t="e">
        <f t="shared" si="46"/>
        <v>#VALUE!</v>
      </c>
      <c r="Z37" s="7" t="e">
        <f t="shared" si="47"/>
        <v>#VALUE!</v>
      </c>
      <c r="AA37" s="7" t="e">
        <f t="shared" si="48"/>
        <v>#VALUE!</v>
      </c>
      <c r="AB37" s="7" t="e">
        <f t="shared" si="49"/>
        <v>#VALUE!</v>
      </c>
      <c r="AC37" s="7" t="e">
        <f t="shared" si="50"/>
        <v>#VALUE!</v>
      </c>
      <c r="AD37" s="7" t="e">
        <f t="shared" si="51"/>
        <v>#VALUE!</v>
      </c>
      <c r="AE37" s="7" t="e">
        <f t="shared" si="52"/>
        <v>#VALUE!</v>
      </c>
      <c r="AF37" s="7" t="e">
        <f t="shared" si="53"/>
        <v>#VALUE!</v>
      </c>
      <c r="AG37" s="7" t="e">
        <f t="shared" si="54"/>
        <v>#VALUE!</v>
      </c>
      <c r="AH37" s="7">
        <f t="shared" si="34"/>
        <v>28.647889756541161</v>
      </c>
      <c r="AJ37">
        <f t="shared" si="35"/>
        <v>680</v>
      </c>
      <c r="AK37" s="7">
        <f t="shared" si="55"/>
        <v>35.943693569720807</v>
      </c>
      <c r="AL37" s="7">
        <f t="shared" si="56"/>
        <v>12.742254281348762</v>
      </c>
      <c r="AM37" s="7">
        <f t="shared" si="57"/>
        <v>35.946621624985632</v>
      </c>
      <c r="AN37" s="7">
        <f t="shared" si="58"/>
        <v>16.212078372926193</v>
      </c>
      <c r="AO37" s="7">
        <f t="shared" si="59"/>
        <v>18.466150734105035</v>
      </c>
      <c r="AP37" s="7">
        <f t="shared" si="60"/>
        <v>48.527584158415848</v>
      </c>
      <c r="AQ37" s="7">
        <f t="shared" si="61"/>
        <v>28.040473130890334</v>
      </c>
      <c r="AR37" s="7" t="e">
        <f t="shared" si="62"/>
        <v>#VALUE!</v>
      </c>
      <c r="AS37" s="7" t="e">
        <f t="shared" si="63"/>
        <v>#VALUE!</v>
      </c>
      <c r="AT37" s="7" t="e">
        <f t="shared" si="64"/>
        <v>#VALUE!</v>
      </c>
      <c r="AU37" s="7" t="e">
        <f t="shared" si="65"/>
        <v>#VALUE!</v>
      </c>
      <c r="AV37" s="7" t="e">
        <f t="shared" si="66"/>
        <v>#VALUE!</v>
      </c>
      <c r="AW37" s="7" t="e">
        <f t="shared" si="67"/>
        <v>#VALUE!</v>
      </c>
      <c r="AX37" s="7" t="e">
        <f t="shared" si="68"/>
        <v>#VALUE!</v>
      </c>
      <c r="AY37" s="7" t="e">
        <f t="shared" si="69"/>
        <v>#VALUE!</v>
      </c>
      <c r="AZ37" s="7" t="e">
        <f t="shared" si="70"/>
        <v>#VALUE!</v>
      </c>
      <c r="BA37" s="7"/>
    </row>
    <row r="38" spans="1:53" x14ac:dyDescent="0.25">
      <c r="A38" t="s">
        <v>59</v>
      </c>
      <c r="C38" s="1"/>
      <c r="D38" t="e">
        <f>VLOOKUP($C38,Database!$A$3:$K$303,4,FALSE)</f>
        <v>#N/A</v>
      </c>
      <c r="E38" t="e">
        <f>VLOOKUP($C38,Database!$A$3:$K$303,5,FALSE)</f>
        <v>#N/A</v>
      </c>
      <c r="F38" t="e">
        <f>VLOOKUP($C38,Database!$A$3:$K$303,6,FALSE)</f>
        <v>#N/A</v>
      </c>
      <c r="G38" t="e">
        <f>VLOOKUP($C38,Database!$A$3:$K$303,7,FALSE)</f>
        <v>#N/A</v>
      </c>
      <c r="H38" t="e">
        <f>VLOOKUP($C38,Database!$A$3:$K$303,8,FALSE)</f>
        <v>#N/A</v>
      </c>
      <c r="I38" t="e">
        <f>VLOOKUP($C38,Database!$A$3:$K$303,9,FALSE)</f>
        <v>#N/A</v>
      </c>
      <c r="J38" t="e">
        <f>VLOOKUP($C38,Database!$A$3:$K$303,10,FALSE)</f>
        <v>#N/A</v>
      </c>
      <c r="K38" t="e">
        <f>VLOOKUP($C38,Database!$A$3:$K$303,11,FALSE)</f>
        <v>#N/A</v>
      </c>
      <c r="M38" t="e">
        <f t="shared" si="37"/>
        <v>#N/A</v>
      </c>
      <c r="N38" s="2" t="e">
        <f t="shared" si="38"/>
        <v>#N/A</v>
      </c>
      <c r="P38">
        <f t="shared" si="36"/>
        <v>17.5</v>
      </c>
      <c r="Q38">
        <f t="shared" si="33"/>
        <v>700</v>
      </c>
      <c r="R38" s="7">
        <f t="shared" si="39"/>
        <v>17.628041430641588</v>
      </c>
      <c r="S38" s="7">
        <f t="shared" si="40"/>
        <v>-0.81015705122009507</v>
      </c>
      <c r="T38" s="7">
        <f t="shared" si="41"/>
        <v>16.831856277148283</v>
      </c>
      <c r="U38" s="7">
        <f t="shared" si="42"/>
        <v>3.311242054318047</v>
      </c>
      <c r="V38" s="7">
        <f t="shared" si="43"/>
        <v>5.5448588763776225</v>
      </c>
      <c r="W38" s="7">
        <f t="shared" si="44"/>
        <v>28.505538361203357</v>
      </c>
      <c r="X38" s="7">
        <f t="shared" si="45"/>
        <v>8.4999204070784025</v>
      </c>
      <c r="Y38" s="7" t="e">
        <f t="shared" si="46"/>
        <v>#VALUE!</v>
      </c>
      <c r="Z38" s="7" t="e">
        <f t="shared" si="47"/>
        <v>#VALUE!</v>
      </c>
      <c r="AA38" s="7" t="e">
        <f t="shared" si="48"/>
        <v>#VALUE!</v>
      </c>
      <c r="AB38" s="7" t="e">
        <f t="shared" si="49"/>
        <v>#VALUE!</v>
      </c>
      <c r="AC38" s="7" t="e">
        <f t="shared" si="50"/>
        <v>#VALUE!</v>
      </c>
      <c r="AD38" s="7" t="e">
        <f t="shared" si="51"/>
        <v>#VALUE!</v>
      </c>
      <c r="AE38" s="7" t="e">
        <f t="shared" si="52"/>
        <v>#VALUE!</v>
      </c>
      <c r="AF38" s="7" t="e">
        <f t="shared" si="53"/>
        <v>#VALUE!</v>
      </c>
      <c r="AG38" s="7" t="e">
        <f t="shared" si="54"/>
        <v>#VALUE!</v>
      </c>
      <c r="AH38" s="7">
        <f t="shared" si="34"/>
        <v>28.647889756541161</v>
      </c>
      <c r="AJ38">
        <f t="shared" si="35"/>
        <v>700</v>
      </c>
      <c r="AK38" s="7">
        <f t="shared" si="55"/>
        <v>34.875057922223171</v>
      </c>
      <c r="AL38" s="7">
        <f t="shared" si="56"/>
        <v>12.492571247589666</v>
      </c>
      <c r="AM38" s="7">
        <f t="shared" si="57"/>
        <v>34.885275129635254</v>
      </c>
      <c r="AN38" s="7">
        <f t="shared" si="58"/>
        <v>15.95679607083648</v>
      </c>
      <c r="AO38" s="7">
        <f t="shared" si="59"/>
        <v>18.07332250019245</v>
      </c>
      <c r="AP38" s="7">
        <f t="shared" si="60"/>
        <v>49.725086633663373</v>
      </c>
      <c r="AQ38" s="7">
        <f t="shared" si="61"/>
        <v>26.420633597675604</v>
      </c>
      <c r="AR38" s="7" t="e">
        <f t="shared" si="62"/>
        <v>#VALUE!</v>
      </c>
      <c r="AS38" s="7" t="e">
        <f t="shared" si="63"/>
        <v>#VALUE!</v>
      </c>
      <c r="AT38" s="7" t="e">
        <f t="shared" si="64"/>
        <v>#VALUE!</v>
      </c>
      <c r="AU38" s="7" t="e">
        <f t="shared" si="65"/>
        <v>#VALUE!</v>
      </c>
      <c r="AV38" s="7" t="e">
        <f t="shared" si="66"/>
        <v>#VALUE!</v>
      </c>
      <c r="AW38" s="7" t="e">
        <f t="shared" si="67"/>
        <v>#VALUE!</v>
      </c>
      <c r="AX38" s="7" t="e">
        <f t="shared" si="68"/>
        <v>#VALUE!</v>
      </c>
      <c r="AY38" s="7" t="e">
        <f t="shared" si="69"/>
        <v>#VALUE!</v>
      </c>
      <c r="AZ38" s="7" t="e">
        <f t="shared" si="70"/>
        <v>#VALUE!</v>
      </c>
      <c r="BA38" s="7"/>
    </row>
    <row r="39" spans="1:53" x14ac:dyDescent="0.25">
      <c r="P39">
        <f t="shared" si="36"/>
        <v>18</v>
      </c>
      <c r="Q39">
        <f t="shared" si="33"/>
        <v>720</v>
      </c>
      <c r="R39" s="7">
        <f t="shared" si="39"/>
        <v>16.133657276611775</v>
      </c>
      <c r="S39" s="7">
        <f t="shared" si="40"/>
        <v>-1.2783936015773136</v>
      </c>
      <c r="T39" s="7">
        <f t="shared" si="41"/>
        <v>15.387772905495353</v>
      </c>
      <c r="U39" s="7">
        <f t="shared" si="42"/>
        <v>2.8060404480870105</v>
      </c>
      <c r="V39" s="7">
        <f t="shared" si="43"/>
        <v>4.8905016904543057</v>
      </c>
      <c r="W39" s="7">
        <f t="shared" si="44"/>
        <v>28.505538361203357</v>
      </c>
      <c r="X39" s="7">
        <f t="shared" si="45"/>
        <v>6.6151241916353669</v>
      </c>
      <c r="Y39" s="7" t="e">
        <f t="shared" si="46"/>
        <v>#VALUE!</v>
      </c>
      <c r="Z39" s="7" t="e">
        <f t="shared" si="47"/>
        <v>#VALUE!</v>
      </c>
      <c r="AA39" s="7" t="e">
        <f t="shared" si="48"/>
        <v>#VALUE!</v>
      </c>
      <c r="AB39" s="7" t="e">
        <f t="shared" si="49"/>
        <v>#VALUE!</v>
      </c>
      <c r="AC39" s="7" t="e">
        <f t="shared" si="50"/>
        <v>#VALUE!</v>
      </c>
      <c r="AD39" s="7" t="e">
        <f t="shared" si="51"/>
        <v>#VALUE!</v>
      </c>
      <c r="AE39" s="7" t="e">
        <f t="shared" si="52"/>
        <v>#VALUE!</v>
      </c>
      <c r="AF39" s="7" t="e">
        <f t="shared" si="53"/>
        <v>#VALUE!</v>
      </c>
      <c r="AG39" s="7" t="e">
        <f t="shared" si="54"/>
        <v>#VALUE!</v>
      </c>
      <c r="AH39" s="7">
        <f t="shared" si="34"/>
        <v>28.647889756541161</v>
      </c>
      <c r="AJ39">
        <f t="shared" si="35"/>
        <v>720</v>
      </c>
      <c r="AK39" s="7">
        <f t="shared" si="55"/>
        <v>33.829237438979376</v>
      </c>
      <c r="AL39" s="7">
        <f t="shared" si="56"/>
        <v>12.247614541550249</v>
      </c>
      <c r="AM39" s="7">
        <f t="shared" si="57"/>
        <v>33.849376884373271</v>
      </c>
      <c r="AN39" s="7">
        <f t="shared" si="58"/>
        <v>15.709762992082922</v>
      </c>
      <c r="AO39" s="7">
        <f t="shared" si="59"/>
        <v>17.690657466132386</v>
      </c>
      <c r="AP39" s="7">
        <f t="shared" si="60"/>
        <v>50.922589108910898</v>
      </c>
      <c r="AQ39" s="7">
        <f t="shared" si="61"/>
        <v>24.8167134277241</v>
      </c>
      <c r="AR39" s="7" t="e">
        <f t="shared" si="62"/>
        <v>#VALUE!</v>
      </c>
      <c r="AS39" s="7" t="e">
        <f t="shared" si="63"/>
        <v>#VALUE!</v>
      </c>
      <c r="AT39" s="7" t="e">
        <f t="shared" si="64"/>
        <v>#VALUE!</v>
      </c>
      <c r="AU39" s="7" t="e">
        <f t="shared" si="65"/>
        <v>#VALUE!</v>
      </c>
      <c r="AV39" s="7" t="e">
        <f t="shared" si="66"/>
        <v>#VALUE!</v>
      </c>
      <c r="AW39" s="7" t="e">
        <f t="shared" si="67"/>
        <v>#VALUE!</v>
      </c>
      <c r="AX39" s="7" t="e">
        <f t="shared" si="68"/>
        <v>#VALUE!</v>
      </c>
      <c r="AY39" s="7" t="e">
        <f t="shared" si="69"/>
        <v>#VALUE!</v>
      </c>
      <c r="AZ39" s="7" t="e">
        <f t="shared" si="70"/>
        <v>#VALUE!</v>
      </c>
      <c r="BA39" s="7"/>
    </row>
    <row r="40" spans="1:53" x14ac:dyDescent="0.25">
      <c r="P40">
        <f t="shared" si="36"/>
        <v>18.5</v>
      </c>
      <c r="Q40">
        <f t="shared" si="33"/>
        <v>740</v>
      </c>
      <c r="R40" s="7">
        <f t="shared" si="39"/>
        <v>14.714046578626153</v>
      </c>
      <c r="S40" s="7">
        <f t="shared" si="40"/>
        <v>-1.7220855334330682</v>
      </c>
      <c r="T40" s="7">
        <f t="shared" si="41"/>
        <v>14.015186940564618</v>
      </c>
      <c r="U40" s="7">
        <f t="shared" si="42"/>
        <v>2.3272542391890827</v>
      </c>
      <c r="V40" s="7">
        <f t="shared" si="43"/>
        <v>4.2698084814757387</v>
      </c>
      <c r="W40" s="7">
        <f t="shared" si="44"/>
        <v>28.505538361203357</v>
      </c>
      <c r="X40" s="7">
        <f t="shared" si="45"/>
        <v>4.8225878543547438</v>
      </c>
      <c r="Y40" s="7" t="e">
        <f t="shared" si="46"/>
        <v>#VALUE!</v>
      </c>
      <c r="Z40" s="7" t="e">
        <f t="shared" si="47"/>
        <v>#VALUE!</v>
      </c>
      <c r="AA40" s="7" t="e">
        <f t="shared" si="48"/>
        <v>#VALUE!</v>
      </c>
      <c r="AB40" s="7" t="e">
        <f t="shared" si="49"/>
        <v>#VALUE!</v>
      </c>
      <c r="AC40" s="7" t="e">
        <f t="shared" si="50"/>
        <v>#VALUE!</v>
      </c>
      <c r="AD40" s="7" t="e">
        <f t="shared" si="51"/>
        <v>#VALUE!</v>
      </c>
      <c r="AE40" s="7" t="e">
        <f t="shared" si="52"/>
        <v>#VALUE!</v>
      </c>
      <c r="AF40" s="7" t="e">
        <f t="shared" si="53"/>
        <v>#VALUE!</v>
      </c>
      <c r="AG40" s="7" t="e">
        <f t="shared" si="54"/>
        <v>#VALUE!</v>
      </c>
      <c r="AH40" s="7">
        <f t="shared" si="34"/>
        <v>28.647889756541161</v>
      </c>
      <c r="AJ40">
        <f t="shared" si="35"/>
        <v>740</v>
      </c>
      <c r="AK40" s="7">
        <f t="shared" si="55"/>
        <v>32.803440045161807</v>
      </c>
      <c r="AL40" s="7">
        <f t="shared" si="56"/>
        <v>12.006823302405827</v>
      </c>
      <c r="AM40" s="7">
        <f t="shared" si="57"/>
        <v>32.835857172178777</v>
      </c>
      <c r="AN40" s="7">
        <f t="shared" si="58"/>
        <v>15.470044207731988</v>
      </c>
      <c r="AO40" s="7">
        <f t="shared" si="59"/>
        <v>17.316966218400626</v>
      </c>
      <c r="AP40" s="7">
        <f t="shared" si="60"/>
        <v>52.120091584158423</v>
      </c>
      <c r="AQ40" s="7">
        <f t="shared" si="61"/>
        <v>23.226330944408403</v>
      </c>
      <c r="AR40" s="7" t="e">
        <f t="shared" si="62"/>
        <v>#VALUE!</v>
      </c>
      <c r="AS40" s="7" t="e">
        <f t="shared" si="63"/>
        <v>#VALUE!</v>
      </c>
      <c r="AT40" s="7" t="e">
        <f t="shared" si="64"/>
        <v>#VALUE!</v>
      </c>
      <c r="AU40" s="7" t="e">
        <f t="shared" si="65"/>
        <v>#VALUE!</v>
      </c>
      <c r="AV40" s="7" t="e">
        <f t="shared" si="66"/>
        <v>#VALUE!</v>
      </c>
      <c r="AW40" s="7" t="e">
        <f t="shared" si="67"/>
        <v>#VALUE!</v>
      </c>
      <c r="AX40" s="7" t="e">
        <f t="shared" si="68"/>
        <v>#VALUE!</v>
      </c>
      <c r="AY40" s="7" t="e">
        <f t="shared" si="69"/>
        <v>#VALUE!</v>
      </c>
      <c r="AZ40" s="7" t="e">
        <f t="shared" si="70"/>
        <v>#VALUE!</v>
      </c>
      <c r="BA40" s="7"/>
    </row>
    <row r="41" spans="1:53" x14ac:dyDescent="0.25">
      <c r="C41" s="1" t="s">
        <v>108</v>
      </c>
      <c r="E41" s="1" t="s">
        <v>108</v>
      </c>
      <c r="P41">
        <f t="shared" si="36"/>
        <v>19</v>
      </c>
      <c r="Q41">
        <f t="shared" si="33"/>
        <v>760</v>
      </c>
      <c r="R41" s="7">
        <f t="shared" si="39"/>
        <v>13.363734232874165</v>
      </c>
      <c r="S41" s="7">
        <f t="shared" si="40"/>
        <v>-2.1431134727696008</v>
      </c>
      <c r="T41" s="7">
        <f t="shared" si="41"/>
        <v>12.708916835826951</v>
      </c>
      <c r="U41" s="7">
        <f t="shared" si="42"/>
        <v>1.8728644441405375</v>
      </c>
      <c r="V41" s="7">
        <f t="shared" si="43"/>
        <v>3.6802465878906663</v>
      </c>
      <c r="W41" s="7">
        <f t="shared" si="44"/>
        <v>28.267985492283039</v>
      </c>
      <c r="X41" s="7">
        <f t="shared" si="45"/>
        <v>3.1156991135353671</v>
      </c>
      <c r="Y41" s="7" t="e">
        <f t="shared" si="46"/>
        <v>#VALUE!</v>
      </c>
      <c r="Z41" s="7" t="e">
        <f t="shared" si="47"/>
        <v>#VALUE!</v>
      </c>
      <c r="AA41" s="7" t="e">
        <f t="shared" si="48"/>
        <v>#VALUE!</v>
      </c>
      <c r="AB41" s="7" t="e">
        <f t="shared" si="49"/>
        <v>#VALUE!</v>
      </c>
      <c r="AC41" s="7" t="e">
        <f t="shared" si="50"/>
        <v>#VALUE!</v>
      </c>
      <c r="AD41" s="7" t="e">
        <f t="shared" si="51"/>
        <v>#VALUE!</v>
      </c>
      <c r="AE41" s="7" t="e">
        <f t="shared" si="52"/>
        <v>#VALUE!</v>
      </c>
      <c r="AF41" s="7" t="e">
        <f t="shared" si="53"/>
        <v>#VALUE!</v>
      </c>
      <c r="AG41" s="7" t="e">
        <f t="shared" si="54"/>
        <v>#VALUE!</v>
      </c>
      <c r="AH41" s="7">
        <f t="shared" si="34"/>
        <v>28.647889756541161</v>
      </c>
      <c r="AJ41">
        <f t="shared" si="35"/>
        <v>760</v>
      </c>
      <c r="AK41" s="7">
        <f t="shared" si="55"/>
        <v>31.79524909433913</v>
      </c>
      <c r="AL41" s="7">
        <f t="shared" si="56"/>
        <v>11.769712806056599</v>
      </c>
      <c r="AM41" s="7">
        <f t="shared" si="57"/>
        <v>31.842054147120304</v>
      </c>
      <c r="AN41" s="7">
        <f t="shared" si="58"/>
        <v>15.236828663134482</v>
      </c>
      <c r="AO41" s="7">
        <f t="shared" si="59"/>
        <v>16.951218275434702</v>
      </c>
      <c r="AP41" s="7">
        <f t="shared" si="60"/>
        <v>52.936940444472903</v>
      </c>
      <c r="AQ41" s="7">
        <f t="shared" si="61"/>
        <v>21.647445192196816</v>
      </c>
      <c r="AR41" s="7" t="e">
        <f t="shared" si="62"/>
        <v>#VALUE!</v>
      </c>
      <c r="AS41" s="7" t="e">
        <f t="shared" si="63"/>
        <v>#VALUE!</v>
      </c>
      <c r="AT41" s="7" t="e">
        <f t="shared" si="64"/>
        <v>#VALUE!</v>
      </c>
      <c r="AU41" s="7" t="e">
        <f t="shared" si="65"/>
        <v>#VALUE!</v>
      </c>
      <c r="AV41" s="7" t="e">
        <f t="shared" si="66"/>
        <v>#VALUE!</v>
      </c>
      <c r="AW41" s="7" t="e">
        <f t="shared" si="67"/>
        <v>#VALUE!</v>
      </c>
      <c r="AX41" s="7" t="e">
        <f t="shared" si="68"/>
        <v>#VALUE!</v>
      </c>
      <c r="AY41" s="7" t="e">
        <f t="shared" si="69"/>
        <v>#VALUE!</v>
      </c>
      <c r="AZ41" s="7" t="e">
        <f t="shared" si="70"/>
        <v>#VALUE!</v>
      </c>
      <c r="BA41" s="7"/>
    </row>
    <row r="42" spans="1:53" x14ac:dyDescent="0.25">
      <c r="C42" s="1" t="s">
        <v>116</v>
      </c>
      <c r="E42" s="1" t="s">
        <v>126</v>
      </c>
      <c r="P42">
        <f t="shared" si="36"/>
        <v>19.5</v>
      </c>
      <c r="Q42">
        <f t="shared" si="33"/>
        <v>780</v>
      </c>
      <c r="R42" s="7">
        <f t="shared" si="39"/>
        <v>12.077766934543046</v>
      </c>
      <c r="S42" s="7">
        <f t="shared" si="40"/>
        <v>-2.543170703802879</v>
      </c>
      <c r="T42" s="7">
        <f t="shared" si="41"/>
        <v>11.464269922871654</v>
      </c>
      <c r="U42" s="7">
        <f t="shared" si="42"/>
        <v>1.4410527210871358</v>
      </c>
      <c r="V42" s="7">
        <f t="shared" si="43"/>
        <v>3.1195311877919387</v>
      </c>
      <c r="W42" s="7">
        <f t="shared" si="44"/>
        <v>26.80065399632479</v>
      </c>
      <c r="X42" s="7">
        <f t="shared" si="45"/>
        <v>1.4884628154433859</v>
      </c>
      <c r="Y42" s="7" t="e">
        <f t="shared" si="46"/>
        <v>#VALUE!</v>
      </c>
      <c r="Z42" s="7" t="e">
        <f t="shared" si="47"/>
        <v>#VALUE!</v>
      </c>
      <c r="AA42" s="7" t="e">
        <f t="shared" si="48"/>
        <v>#VALUE!</v>
      </c>
      <c r="AB42" s="7" t="e">
        <f t="shared" si="49"/>
        <v>#VALUE!</v>
      </c>
      <c r="AC42" s="7" t="e">
        <f t="shared" si="50"/>
        <v>#VALUE!</v>
      </c>
      <c r="AD42" s="7" t="e">
        <f t="shared" si="51"/>
        <v>#VALUE!</v>
      </c>
      <c r="AE42" s="7" t="e">
        <f t="shared" si="52"/>
        <v>#VALUE!</v>
      </c>
      <c r="AF42" s="7" t="e">
        <f t="shared" si="53"/>
        <v>#VALUE!</v>
      </c>
      <c r="AG42" s="7" t="e">
        <f t="shared" si="54"/>
        <v>#VALUE!</v>
      </c>
      <c r="AH42" s="7">
        <f t="shared" si="34"/>
        <v>28.647889756541161</v>
      </c>
      <c r="AJ42">
        <f t="shared" si="35"/>
        <v>780</v>
      </c>
      <c r="AK42" s="7">
        <f t="shared" si="55"/>
        <v>30.802566684537414</v>
      </c>
      <c r="AL42" s="7">
        <f t="shared" si="56"/>
        <v>11.535862697129785</v>
      </c>
      <c r="AM42" s="7">
        <f t="shared" si="57"/>
        <v>30.865652920419588</v>
      </c>
      <c r="AN42" s="7">
        <f t="shared" si="58"/>
        <v>15.009410325999294</v>
      </c>
      <c r="AO42" s="7">
        <f t="shared" si="59"/>
        <v>16.592517918956197</v>
      </c>
      <c r="AP42" s="7">
        <f t="shared" si="60"/>
        <v>51.743089174470846</v>
      </c>
      <c r="AQ42" s="7">
        <f t="shared" si="61"/>
        <v>20.078303297160616</v>
      </c>
      <c r="AR42" s="7" t="e">
        <f t="shared" si="62"/>
        <v>#VALUE!</v>
      </c>
      <c r="AS42" s="7" t="e">
        <f t="shared" si="63"/>
        <v>#VALUE!</v>
      </c>
      <c r="AT42" s="7" t="e">
        <f t="shared" si="64"/>
        <v>#VALUE!</v>
      </c>
      <c r="AU42" s="7" t="e">
        <f t="shared" si="65"/>
        <v>#VALUE!</v>
      </c>
      <c r="AV42" s="7" t="e">
        <f t="shared" si="66"/>
        <v>#VALUE!</v>
      </c>
      <c r="AW42" s="7" t="e">
        <f t="shared" si="67"/>
        <v>#VALUE!</v>
      </c>
      <c r="AX42" s="7" t="e">
        <f t="shared" si="68"/>
        <v>#VALUE!</v>
      </c>
      <c r="AY42" s="7" t="e">
        <f t="shared" si="69"/>
        <v>#VALUE!</v>
      </c>
      <c r="AZ42" s="7" t="e">
        <f t="shared" si="70"/>
        <v>#VALUE!</v>
      </c>
      <c r="BA42" s="7"/>
    </row>
    <row r="43" spans="1:53" x14ac:dyDescent="0.25">
      <c r="C43" s="1" t="s">
        <v>115</v>
      </c>
      <c r="E43" s="1" t="s">
        <v>127</v>
      </c>
      <c r="P43">
        <f t="shared" si="36"/>
        <v>20</v>
      </c>
      <c r="Q43">
        <f t="shared" si="33"/>
        <v>800</v>
      </c>
      <c r="R43" s="7">
        <f t="shared" si="39"/>
        <v>10.851652462539754</v>
      </c>
      <c r="S43" s="7">
        <f t="shared" si="40"/>
        <v>-2.9237859300979281</v>
      </c>
      <c r="T43" s="7">
        <f t="shared" si="41"/>
        <v>10.276986083079578</v>
      </c>
      <c r="U43" s="7">
        <f t="shared" si="42"/>
        <v>1.03017704992501</v>
      </c>
      <c r="V43" s="7">
        <f t="shared" si="43"/>
        <v>2.585595706695619</v>
      </c>
      <c r="W43" s="7">
        <f t="shared" si="44"/>
        <v>25.399387116591797</v>
      </c>
      <c r="X43" s="7">
        <f t="shared" si="45"/>
        <v>-6.456942025496204E-2</v>
      </c>
      <c r="Y43" s="7" t="e">
        <f t="shared" si="46"/>
        <v>#VALUE!</v>
      </c>
      <c r="Z43" s="7" t="e">
        <f t="shared" si="47"/>
        <v>#VALUE!</v>
      </c>
      <c r="AA43" s="7" t="e">
        <f t="shared" si="48"/>
        <v>#VALUE!</v>
      </c>
      <c r="AB43" s="7" t="e">
        <f t="shared" si="49"/>
        <v>#VALUE!</v>
      </c>
      <c r="AC43" s="7" t="e">
        <f t="shared" si="50"/>
        <v>#VALUE!</v>
      </c>
      <c r="AD43" s="7" t="e">
        <f t="shared" si="51"/>
        <v>#VALUE!</v>
      </c>
      <c r="AE43" s="7" t="e">
        <f t="shared" si="52"/>
        <v>#VALUE!</v>
      </c>
      <c r="AF43" s="7" t="e">
        <f t="shared" si="53"/>
        <v>#VALUE!</v>
      </c>
      <c r="AG43" s="7" t="e">
        <f t="shared" si="54"/>
        <v>#VALUE!</v>
      </c>
      <c r="AH43" s="7">
        <f t="shared" si="34"/>
        <v>28.647889756541161</v>
      </c>
      <c r="AJ43">
        <f t="shared" si="35"/>
        <v>800</v>
      </c>
      <c r="AK43" s="7">
        <f t="shared" si="55"/>
        <v>29.82356652001922</v>
      </c>
      <c r="AL43" s="7">
        <f t="shared" si="56"/>
        <v>11.304907262071403</v>
      </c>
      <c r="AM43" s="7">
        <f t="shared" si="57"/>
        <v>29.904634799126342</v>
      </c>
      <c r="AN43" s="7">
        <f t="shared" si="58"/>
        <v>14.787172568166486</v>
      </c>
      <c r="AO43" s="7">
        <f t="shared" si="59"/>
        <v>16.240084149433432</v>
      </c>
      <c r="AP43" s="7">
        <f t="shared" si="60"/>
        <v>50.58806470246877</v>
      </c>
      <c r="AQ43" s="7">
        <f t="shared" si="61"/>
        <v>18.517396751945029</v>
      </c>
      <c r="AR43" s="7" t="e">
        <f t="shared" si="62"/>
        <v>#VALUE!</v>
      </c>
      <c r="AS43" s="7" t="e">
        <f t="shared" si="63"/>
        <v>#VALUE!</v>
      </c>
      <c r="AT43" s="7" t="e">
        <f t="shared" si="64"/>
        <v>#VALUE!</v>
      </c>
      <c r="AU43" s="7" t="e">
        <f t="shared" si="65"/>
        <v>#VALUE!</v>
      </c>
      <c r="AV43" s="7" t="e">
        <f t="shared" si="66"/>
        <v>#VALUE!</v>
      </c>
      <c r="AW43" s="7" t="e">
        <f t="shared" si="67"/>
        <v>#VALUE!</v>
      </c>
      <c r="AX43" s="7" t="e">
        <f t="shared" si="68"/>
        <v>#VALUE!</v>
      </c>
      <c r="AY43" s="7" t="e">
        <f t="shared" si="69"/>
        <v>#VALUE!</v>
      </c>
      <c r="AZ43" s="7" t="e">
        <f t="shared" si="70"/>
        <v>#VALUE!</v>
      </c>
      <c r="BA43" s="7"/>
    </row>
    <row r="44" spans="1:53" x14ac:dyDescent="0.25">
      <c r="C44" s="1" t="s">
        <v>117</v>
      </c>
      <c r="E44" s="1" t="s">
        <v>128</v>
      </c>
      <c r="P44">
        <f t="shared" si="36"/>
        <v>20.5</v>
      </c>
      <c r="Q44">
        <f t="shared" si="33"/>
        <v>820</v>
      </c>
      <c r="R44" s="7">
        <f t="shared" si="39"/>
        <v>9.6813072490333845</v>
      </c>
      <c r="S44" s="7">
        <f t="shared" si="40"/>
        <v>-3.2863427959680482</v>
      </c>
      <c r="T44" s="7">
        <f t="shared" si="41"/>
        <v>9.1431890320200324</v>
      </c>
      <c r="U44" s="7">
        <f t="shared" si="42"/>
        <v>0.63875086608800125</v>
      </c>
      <c r="V44" s="7">
        <f t="shared" si="43"/>
        <v>2.0765663664272314</v>
      </c>
      <c r="W44" s="7">
        <f t="shared" si="44"/>
        <v>24.059821377867095</v>
      </c>
      <c r="X44" s="7">
        <f t="shared" si="45"/>
        <v>-1.5483601448440272</v>
      </c>
      <c r="Y44" s="7" t="e">
        <f t="shared" si="46"/>
        <v>#VALUE!</v>
      </c>
      <c r="Z44" s="7" t="e">
        <f t="shared" si="47"/>
        <v>#VALUE!</v>
      </c>
      <c r="AA44" s="7" t="e">
        <f t="shared" si="48"/>
        <v>#VALUE!</v>
      </c>
      <c r="AB44" s="7" t="e">
        <f t="shared" si="49"/>
        <v>#VALUE!</v>
      </c>
      <c r="AC44" s="7" t="e">
        <f t="shared" si="50"/>
        <v>#VALUE!</v>
      </c>
      <c r="AD44" s="7" t="e">
        <f t="shared" si="51"/>
        <v>#VALUE!</v>
      </c>
      <c r="AE44" s="7" t="e">
        <f t="shared" si="52"/>
        <v>#VALUE!</v>
      </c>
      <c r="AF44" s="7" t="e">
        <f t="shared" si="53"/>
        <v>#VALUE!</v>
      </c>
      <c r="AG44" s="7" t="e">
        <f t="shared" si="54"/>
        <v>#VALUE!</v>
      </c>
      <c r="AH44" s="7">
        <f t="shared" si="34"/>
        <v>28.647889756541161</v>
      </c>
      <c r="AJ44">
        <f t="shared" si="35"/>
        <v>820</v>
      </c>
      <c r="AK44" s="7">
        <f t="shared" si="55"/>
        <v>28.856654545399788</v>
      </c>
      <c r="AL44" s="7">
        <f t="shared" si="56"/>
        <v>11.076527351637186</v>
      </c>
      <c r="AM44" s="7">
        <f t="shared" si="57"/>
        <v>28.957234809902296</v>
      </c>
      <c r="AN44" s="7">
        <f t="shared" si="58"/>
        <v>14.569575165799973</v>
      </c>
      <c r="AO44" s="7">
        <f t="shared" si="59"/>
        <v>15.893233986931847</v>
      </c>
      <c r="AP44" s="7">
        <f t="shared" si="60"/>
        <v>49.467906535114146</v>
      </c>
      <c r="AQ44" s="7">
        <f t="shared" si="61"/>
        <v>16.963424969670807</v>
      </c>
      <c r="AR44" s="7" t="e">
        <f t="shared" si="62"/>
        <v>#VALUE!</v>
      </c>
      <c r="AS44" s="7" t="e">
        <f t="shared" si="63"/>
        <v>#VALUE!</v>
      </c>
      <c r="AT44" s="7" t="e">
        <f t="shared" si="64"/>
        <v>#VALUE!</v>
      </c>
      <c r="AU44" s="7" t="e">
        <f t="shared" si="65"/>
        <v>#VALUE!</v>
      </c>
      <c r="AV44" s="7" t="e">
        <f t="shared" si="66"/>
        <v>#VALUE!</v>
      </c>
      <c r="AW44" s="7" t="e">
        <f t="shared" si="67"/>
        <v>#VALUE!</v>
      </c>
      <c r="AX44" s="7" t="e">
        <f t="shared" si="68"/>
        <v>#VALUE!</v>
      </c>
      <c r="AY44" s="7" t="e">
        <f t="shared" si="69"/>
        <v>#VALUE!</v>
      </c>
      <c r="AZ44" s="7" t="e">
        <f t="shared" si="70"/>
        <v>#VALUE!</v>
      </c>
      <c r="BA44" s="7"/>
    </row>
    <row r="45" spans="1:53" x14ac:dyDescent="0.25">
      <c r="C45" s="1" t="s">
        <v>118</v>
      </c>
      <c r="E45" s="1" t="s">
        <v>129</v>
      </c>
      <c r="P45">
        <f t="shared" si="36"/>
        <v>21</v>
      </c>
      <c r="Q45">
        <f t="shared" si="33"/>
        <v>840</v>
      </c>
      <c r="R45" s="7">
        <f t="shared" si="39"/>
        <v>8.5630109442363782</v>
      </c>
      <c r="S45" s="7">
        <f t="shared" si="40"/>
        <v>-3.6320966936726551</v>
      </c>
      <c r="T45" s="7">
        <f t="shared" si="41"/>
        <v>8.059344042684728</v>
      </c>
      <c r="U45" s="7">
        <f t="shared" si="42"/>
        <v>0.2654250890335863</v>
      </c>
      <c r="V45" s="7">
        <f t="shared" si="43"/>
        <v>1.5907402144380143</v>
      </c>
      <c r="W45" s="7">
        <f t="shared" si="44"/>
        <v>22.777969295603505</v>
      </c>
      <c r="X45" s="7">
        <f t="shared" si="45"/>
        <v>-2.9674390511034208</v>
      </c>
      <c r="Y45" s="7" t="e">
        <f t="shared" si="46"/>
        <v>#VALUE!</v>
      </c>
      <c r="Z45" s="7" t="e">
        <f t="shared" si="47"/>
        <v>#VALUE!</v>
      </c>
      <c r="AA45" s="7" t="e">
        <f t="shared" si="48"/>
        <v>#VALUE!</v>
      </c>
      <c r="AB45" s="7" t="e">
        <f t="shared" si="49"/>
        <v>#VALUE!</v>
      </c>
      <c r="AC45" s="7" t="e">
        <f t="shared" si="50"/>
        <v>#VALUE!</v>
      </c>
      <c r="AD45" s="7" t="e">
        <f t="shared" si="51"/>
        <v>#VALUE!</v>
      </c>
      <c r="AE45" s="7" t="e">
        <f t="shared" si="52"/>
        <v>#VALUE!</v>
      </c>
      <c r="AF45" s="7" t="e">
        <f t="shared" si="53"/>
        <v>#VALUE!</v>
      </c>
      <c r="AG45" s="7" t="e">
        <f t="shared" si="54"/>
        <v>#VALUE!</v>
      </c>
      <c r="AH45" s="7">
        <f t="shared" si="34"/>
        <v>28.647889756541161</v>
      </c>
      <c r="AJ45">
        <f t="shared" si="35"/>
        <v>840</v>
      </c>
      <c r="AK45" s="7">
        <f t="shared" si="55"/>
        <v>27.900435938325096</v>
      </c>
      <c r="AL45" s="7">
        <f t="shared" si="56"/>
        <v>10.850443643257504</v>
      </c>
      <c r="AM45" s="7">
        <f t="shared" si="57"/>
        <v>28.021906015486007</v>
      </c>
      <c r="AN45" s="7">
        <f t="shared" si="58"/>
        <v>14.356143430897323</v>
      </c>
      <c r="AO45" s="7">
        <f t="shared" si="59"/>
        <v>15.551368499377837</v>
      </c>
      <c r="AP45" s="7">
        <f t="shared" si="60"/>
        <v>48.379113147730799</v>
      </c>
      <c r="AQ45" s="7">
        <f t="shared" si="61"/>
        <v>15.415264784903927</v>
      </c>
      <c r="AR45" s="7" t="e">
        <f t="shared" si="62"/>
        <v>#VALUE!</v>
      </c>
      <c r="AS45" s="7" t="e">
        <f t="shared" si="63"/>
        <v>#VALUE!</v>
      </c>
      <c r="AT45" s="7" t="e">
        <f t="shared" si="64"/>
        <v>#VALUE!</v>
      </c>
      <c r="AU45" s="7" t="e">
        <f t="shared" si="65"/>
        <v>#VALUE!</v>
      </c>
      <c r="AV45" s="7" t="e">
        <f t="shared" si="66"/>
        <v>#VALUE!</v>
      </c>
      <c r="AW45" s="7" t="e">
        <f t="shared" si="67"/>
        <v>#VALUE!</v>
      </c>
      <c r="AX45" s="7" t="e">
        <f t="shared" si="68"/>
        <v>#VALUE!</v>
      </c>
      <c r="AY45" s="7" t="e">
        <f t="shared" si="69"/>
        <v>#VALUE!</v>
      </c>
      <c r="AZ45" s="7" t="e">
        <f t="shared" si="70"/>
        <v>#VALUE!</v>
      </c>
      <c r="BA45" s="7"/>
    </row>
    <row r="46" spans="1:53" x14ac:dyDescent="0.25">
      <c r="C46" s="1" t="s">
        <v>119</v>
      </c>
      <c r="E46" s="1" t="s">
        <v>130</v>
      </c>
      <c r="P46">
        <f t="shared" si="36"/>
        <v>21.5</v>
      </c>
      <c r="Q46">
        <f t="shared" si="33"/>
        <v>860</v>
      </c>
      <c r="R46" s="7">
        <f t="shared" si="39"/>
        <v>7.4933669112597201</v>
      </c>
      <c r="S46" s="7">
        <f t="shared" si="40"/>
        <v>-3.9621892867133583</v>
      </c>
      <c r="T46" s="7">
        <f t="shared" si="41"/>
        <v>7.0222211360862836</v>
      </c>
      <c r="U46" s="7">
        <f t="shared" si="42"/>
        <v>-9.1027412485450654E-2</v>
      </c>
      <c r="V46" s="7">
        <f t="shared" si="43"/>
        <v>1.1265660906525525</v>
      </c>
      <c r="W46" s="7">
        <f t="shared" si="44"/>
        <v>21.550179732108745</v>
      </c>
      <c r="X46" s="7">
        <f t="shared" si="45"/>
        <v>-4.3259491612234058</v>
      </c>
      <c r="Y46" s="7" t="e">
        <f t="shared" si="46"/>
        <v>#VALUE!</v>
      </c>
      <c r="Z46" s="7" t="e">
        <f t="shared" si="47"/>
        <v>#VALUE!</v>
      </c>
      <c r="AA46" s="7" t="e">
        <f t="shared" si="48"/>
        <v>#VALUE!</v>
      </c>
      <c r="AB46" s="7" t="e">
        <f t="shared" si="49"/>
        <v>#VALUE!</v>
      </c>
      <c r="AC46" s="7" t="e">
        <f t="shared" si="50"/>
        <v>#VALUE!</v>
      </c>
      <c r="AD46" s="7" t="e">
        <f t="shared" si="51"/>
        <v>#VALUE!</v>
      </c>
      <c r="AE46" s="7" t="e">
        <f t="shared" si="52"/>
        <v>#VALUE!</v>
      </c>
      <c r="AF46" s="7" t="e">
        <f t="shared" si="53"/>
        <v>#VALUE!</v>
      </c>
      <c r="AG46" s="7" t="e">
        <f t="shared" si="54"/>
        <v>#VALUE!</v>
      </c>
      <c r="AH46" s="7">
        <f t="shared" si="34"/>
        <v>28.647889756541161</v>
      </c>
      <c r="AJ46">
        <f t="shared" si="35"/>
        <v>860</v>
      </c>
      <c r="AK46" s="7">
        <f t="shared" si="55"/>
        <v>26.953687327688584</v>
      </c>
      <c r="AL46" s="7">
        <f t="shared" si="56"/>
        <v>10.62641099726531</v>
      </c>
      <c r="AM46" s="7">
        <f t="shared" si="57"/>
        <v>27.09728942500081</v>
      </c>
      <c r="AN46" s="7">
        <f t="shared" si="58"/>
        <v>14.14645908626529</v>
      </c>
      <c r="AO46" s="7">
        <f t="shared" si="59"/>
        <v>15.213961065111819</v>
      </c>
      <c r="AP46" s="7">
        <f t="shared" si="60"/>
        <v>47.31858144284729</v>
      </c>
      <c r="AQ46" s="7">
        <f t="shared" si="61"/>
        <v>13.871944840981248</v>
      </c>
      <c r="AR46" s="7" t="e">
        <f t="shared" si="62"/>
        <v>#VALUE!</v>
      </c>
      <c r="AS46" s="7" t="e">
        <f t="shared" si="63"/>
        <v>#VALUE!</v>
      </c>
      <c r="AT46" s="7" t="e">
        <f t="shared" si="64"/>
        <v>#VALUE!</v>
      </c>
      <c r="AU46" s="7" t="e">
        <f t="shared" si="65"/>
        <v>#VALUE!</v>
      </c>
      <c r="AV46" s="7" t="e">
        <f t="shared" si="66"/>
        <v>#VALUE!</v>
      </c>
      <c r="AW46" s="7" t="e">
        <f t="shared" si="67"/>
        <v>#VALUE!</v>
      </c>
      <c r="AX46" s="7" t="e">
        <f t="shared" si="68"/>
        <v>#VALUE!</v>
      </c>
      <c r="AY46" s="7" t="e">
        <f t="shared" si="69"/>
        <v>#VALUE!</v>
      </c>
      <c r="AZ46" s="7" t="e">
        <f t="shared" si="70"/>
        <v>#VALUE!</v>
      </c>
      <c r="BA46" s="7"/>
    </row>
    <row r="47" spans="1:53" x14ac:dyDescent="0.25">
      <c r="C47" s="1" t="s">
        <v>121</v>
      </c>
      <c r="E47" s="1" t="s">
        <v>131</v>
      </c>
      <c r="P47">
        <f t="shared" si="36"/>
        <v>22</v>
      </c>
      <c r="Q47">
        <f t="shared" si="33"/>
        <v>880</v>
      </c>
      <c r="R47" s="7">
        <f t="shared" si="39"/>
        <v>6.4692677672939922</v>
      </c>
      <c r="S47" s="7">
        <f t="shared" si="40"/>
        <v>-4.2776611032909075</v>
      </c>
      <c r="T47" s="7">
        <f t="shared" si="41"/>
        <v>6.0288629317263087</v>
      </c>
      <c r="U47" s="7">
        <f t="shared" si="42"/>
        <v>-0.43172529532049531</v>
      </c>
      <c r="V47" s="7">
        <f t="shared" si="43"/>
        <v>0.68262808362212013</v>
      </c>
      <c r="W47" s="7">
        <f t="shared" si="44"/>
        <v>20.373103165111473</v>
      </c>
      <c r="X47" s="7">
        <f t="shared" si="45"/>
        <v>-5.627687224150371</v>
      </c>
      <c r="Y47" s="7" t="e">
        <f t="shared" si="46"/>
        <v>#VALUE!</v>
      </c>
      <c r="Z47" s="7" t="e">
        <f t="shared" si="47"/>
        <v>#VALUE!</v>
      </c>
      <c r="AA47" s="7" t="e">
        <f t="shared" si="48"/>
        <v>#VALUE!</v>
      </c>
      <c r="AB47" s="7" t="e">
        <f t="shared" si="49"/>
        <v>#VALUE!</v>
      </c>
      <c r="AC47" s="7" t="e">
        <f t="shared" si="50"/>
        <v>#VALUE!</v>
      </c>
      <c r="AD47" s="7" t="e">
        <f t="shared" si="51"/>
        <v>#VALUE!</v>
      </c>
      <c r="AE47" s="7" t="e">
        <f t="shared" si="52"/>
        <v>#VALUE!</v>
      </c>
      <c r="AF47" s="7" t="e">
        <f t="shared" si="53"/>
        <v>#VALUE!</v>
      </c>
      <c r="AG47" s="7" t="e">
        <f t="shared" si="54"/>
        <v>#VALUE!</v>
      </c>
      <c r="AH47" s="7">
        <f t="shared" si="34"/>
        <v>28.647889756541161</v>
      </c>
      <c r="AJ47">
        <f t="shared" si="35"/>
        <v>880</v>
      </c>
      <c r="AK47" s="7">
        <f t="shared" si="55"/>
        <v>26.015333324808953</v>
      </c>
      <c r="AL47" s="7">
        <f t="shared" si="56"/>
        <v>10.404213710382193</v>
      </c>
      <c r="AM47" s="7">
        <f t="shared" si="57"/>
        <v>26.18218853036975</v>
      </c>
      <c r="AN47" s="7">
        <f t="shared" si="58"/>
        <v>13.940152573444061</v>
      </c>
      <c r="AO47" s="7">
        <f t="shared" si="59"/>
        <v>14.880547474145413</v>
      </c>
      <c r="AP47" s="7">
        <f t="shared" si="60"/>
        <v>46.283555184875105</v>
      </c>
      <c r="AQ47" s="7">
        <f t="shared" si="61"/>
        <v>12.332624008489059</v>
      </c>
      <c r="AR47" s="7" t="e">
        <f t="shared" si="62"/>
        <v>#VALUE!</v>
      </c>
      <c r="AS47" s="7" t="e">
        <f t="shared" si="63"/>
        <v>#VALUE!</v>
      </c>
      <c r="AT47" s="7" t="e">
        <f t="shared" si="64"/>
        <v>#VALUE!</v>
      </c>
      <c r="AU47" s="7" t="e">
        <f t="shared" si="65"/>
        <v>#VALUE!</v>
      </c>
      <c r="AV47" s="7" t="e">
        <f t="shared" si="66"/>
        <v>#VALUE!</v>
      </c>
      <c r="AW47" s="7" t="e">
        <f t="shared" si="67"/>
        <v>#VALUE!</v>
      </c>
      <c r="AX47" s="7" t="e">
        <f t="shared" si="68"/>
        <v>#VALUE!</v>
      </c>
      <c r="AY47" s="7" t="e">
        <f t="shared" si="69"/>
        <v>#VALUE!</v>
      </c>
      <c r="AZ47" s="7" t="e">
        <f t="shared" si="70"/>
        <v>#VALUE!</v>
      </c>
      <c r="BA47" s="7"/>
    </row>
    <row r="48" spans="1:53" x14ac:dyDescent="0.25">
      <c r="C48" s="1" t="s">
        <v>122</v>
      </c>
      <c r="E48" s="1" t="s">
        <v>132</v>
      </c>
      <c r="P48">
        <f t="shared" si="36"/>
        <v>22.5</v>
      </c>
      <c r="Q48">
        <f t="shared" si="33"/>
        <v>900</v>
      </c>
      <c r="R48" s="7">
        <f t="shared" si="39"/>
        <v>5.4878652347484831</v>
      </c>
      <c r="S48" s="7">
        <f t="shared" si="40"/>
        <v>-4.5794624926149314</v>
      </c>
      <c r="T48" s="7">
        <f t="shared" si="41"/>
        <v>5.0765564839210136</v>
      </c>
      <c r="U48" s="7">
        <f t="shared" si="42"/>
        <v>-0.75769046875186064</v>
      </c>
      <c r="V48" s="7">
        <f t="shared" si="43"/>
        <v>0.25763110425377711</v>
      </c>
      <c r="W48" s="7">
        <f t="shared" si="44"/>
        <v>19.243661172918948</v>
      </c>
      <c r="X48" s="7">
        <f t="shared" si="45"/>
        <v>-6.8761391519841455</v>
      </c>
      <c r="Y48" s="7" t="e">
        <f t="shared" si="46"/>
        <v>#VALUE!</v>
      </c>
      <c r="Z48" s="7" t="e">
        <f t="shared" si="47"/>
        <v>#VALUE!</v>
      </c>
      <c r="AA48" s="7" t="e">
        <f t="shared" si="48"/>
        <v>#VALUE!</v>
      </c>
      <c r="AB48" s="7" t="e">
        <f t="shared" si="49"/>
        <v>#VALUE!</v>
      </c>
      <c r="AC48" s="7" t="e">
        <f t="shared" si="50"/>
        <v>#VALUE!</v>
      </c>
      <c r="AD48" s="7" t="e">
        <f t="shared" si="51"/>
        <v>#VALUE!</v>
      </c>
      <c r="AE48" s="7" t="e">
        <f t="shared" si="52"/>
        <v>#VALUE!</v>
      </c>
      <c r="AF48" s="7" t="e">
        <f t="shared" si="53"/>
        <v>#VALUE!</v>
      </c>
      <c r="AG48" s="7" t="e">
        <f t="shared" si="54"/>
        <v>#VALUE!</v>
      </c>
      <c r="AH48" s="7">
        <f t="shared" si="34"/>
        <v>28.647889756541161</v>
      </c>
      <c r="AJ48">
        <f t="shared" si="35"/>
        <v>900</v>
      </c>
      <c r="AK48" s="7">
        <f t="shared" si="55"/>
        <v>25.084426629032201</v>
      </c>
      <c r="AL48" s="7">
        <f t="shared" si="56"/>
        <v>10.183661508519201</v>
      </c>
      <c r="AM48" s="7">
        <f t="shared" si="57"/>
        <v>25.27554768399035</v>
      </c>
      <c r="AN48" s="7">
        <f t="shared" si="58"/>
        <v>13.73689654368073</v>
      </c>
      <c r="AO48" s="7">
        <f t="shared" si="59"/>
        <v>14.550717549179694</v>
      </c>
      <c r="AP48" s="7">
        <f t="shared" si="60"/>
        <v>45.271580934963701</v>
      </c>
      <c r="AQ48" s="7">
        <f t="shared" si="61"/>
        <v>10.796573142254992</v>
      </c>
      <c r="AR48" s="7" t="e">
        <f t="shared" si="62"/>
        <v>#VALUE!</v>
      </c>
      <c r="AS48" s="7" t="e">
        <f t="shared" si="63"/>
        <v>#VALUE!</v>
      </c>
      <c r="AT48" s="7" t="e">
        <f t="shared" si="64"/>
        <v>#VALUE!</v>
      </c>
      <c r="AU48" s="7" t="e">
        <f t="shared" si="65"/>
        <v>#VALUE!</v>
      </c>
      <c r="AV48" s="7" t="e">
        <f t="shared" si="66"/>
        <v>#VALUE!</v>
      </c>
      <c r="AW48" s="7" t="e">
        <f t="shared" si="67"/>
        <v>#VALUE!</v>
      </c>
      <c r="AX48" s="7" t="e">
        <f t="shared" si="68"/>
        <v>#VALUE!</v>
      </c>
      <c r="AY48" s="7" t="e">
        <f t="shared" si="69"/>
        <v>#VALUE!</v>
      </c>
      <c r="AZ48" s="7" t="e">
        <f t="shared" si="70"/>
        <v>#VALUE!</v>
      </c>
      <c r="BA48" s="7"/>
    </row>
    <row r="49" spans="3:53" x14ac:dyDescent="0.25">
      <c r="C49" s="1" t="s">
        <v>123</v>
      </c>
      <c r="P49">
        <f t="shared" si="36"/>
        <v>23</v>
      </c>
      <c r="Q49">
        <f t="shared" si="33"/>
        <v>920</v>
      </c>
      <c r="R49" s="7">
        <f t="shared" si="39"/>
        <v>4.5465436862752995</v>
      </c>
      <c r="S49" s="7">
        <f t="shared" si="40"/>
        <v>-4.8684631871010202</v>
      </c>
      <c r="T49" s="7">
        <f t="shared" si="41"/>
        <v>4.1628085391341934</v>
      </c>
      <c r="U49" s="7">
        <f t="shared" si="42"/>
        <v>-1.0698583322100319</v>
      </c>
      <c r="V49" s="7">
        <f t="shared" si="43"/>
        <v>-0.14961173249892923</v>
      </c>
      <c r="W49" s="7">
        <f t="shared" si="44"/>
        <v>18.159019550773806</v>
      </c>
      <c r="X49" s="7">
        <f t="shared" si="45"/>
        <v>-8.0745111919320003</v>
      </c>
      <c r="Y49" s="7" t="e">
        <f t="shared" si="46"/>
        <v>#VALUE!</v>
      </c>
      <c r="Z49" s="7" t="e">
        <f t="shared" si="47"/>
        <v>#VALUE!</v>
      </c>
      <c r="AA49" s="7" t="e">
        <f t="shared" si="48"/>
        <v>#VALUE!</v>
      </c>
      <c r="AB49" s="7" t="e">
        <f t="shared" si="49"/>
        <v>#VALUE!</v>
      </c>
      <c r="AC49" s="7" t="e">
        <f t="shared" si="50"/>
        <v>#VALUE!</v>
      </c>
      <c r="AD49" s="7" t="e">
        <f t="shared" si="51"/>
        <v>#VALUE!</v>
      </c>
      <c r="AE49" s="7" t="e">
        <f t="shared" si="52"/>
        <v>#VALUE!</v>
      </c>
      <c r="AF49" s="7" t="e">
        <f t="shared" si="53"/>
        <v>#VALUE!</v>
      </c>
      <c r="AG49" s="7" t="e">
        <f t="shared" si="54"/>
        <v>#VALUE!</v>
      </c>
      <c r="AH49" s="7">
        <f t="shared" si="34"/>
        <v>28.647889756541161</v>
      </c>
      <c r="AJ49">
        <f t="shared" si="35"/>
        <v>920</v>
      </c>
      <c r="AK49" s="7">
        <f t="shared" si="55"/>
        <v>24.160131107342135</v>
      </c>
      <c r="AL49" s="7">
        <f t="shared" si="56"/>
        <v>9.9645861513751957</v>
      </c>
      <c r="AM49" s="7">
        <f t="shared" si="57"/>
        <v>24.376433678296646</v>
      </c>
      <c r="AN49" s="7">
        <f t="shared" si="58"/>
        <v>13.536400329835599</v>
      </c>
      <c r="AO49" s="7">
        <f t="shared" si="59"/>
        <v>14.224108027995554</v>
      </c>
      <c r="AP49" s="7">
        <f t="shared" si="60"/>
        <v>44.280470276061102</v>
      </c>
      <c r="AQ49" s="7">
        <f t="shared" si="61"/>
        <v>9.2631596134478826</v>
      </c>
      <c r="AR49" s="7" t="e">
        <f t="shared" si="62"/>
        <v>#VALUE!</v>
      </c>
      <c r="AS49" s="7" t="e">
        <f t="shared" si="63"/>
        <v>#VALUE!</v>
      </c>
      <c r="AT49" s="7" t="e">
        <f t="shared" si="64"/>
        <v>#VALUE!</v>
      </c>
      <c r="AU49" s="7" t="e">
        <f t="shared" si="65"/>
        <v>#VALUE!</v>
      </c>
      <c r="AV49" s="7" t="e">
        <f t="shared" si="66"/>
        <v>#VALUE!</v>
      </c>
      <c r="AW49" s="7" t="e">
        <f t="shared" si="67"/>
        <v>#VALUE!</v>
      </c>
      <c r="AX49" s="7" t="e">
        <f t="shared" si="68"/>
        <v>#VALUE!</v>
      </c>
      <c r="AY49" s="7" t="e">
        <f t="shared" si="69"/>
        <v>#VALUE!</v>
      </c>
      <c r="AZ49" s="7" t="e">
        <f t="shared" si="70"/>
        <v>#VALUE!</v>
      </c>
      <c r="BA49" s="7"/>
    </row>
    <row r="50" spans="3:53" x14ac:dyDescent="0.25">
      <c r="C50" s="1" t="s">
        <v>124</v>
      </c>
      <c r="P50">
        <f t="shared" si="36"/>
        <v>23.5</v>
      </c>
      <c r="Q50">
        <f t="shared" si="33"/>
        <v>940</v>
      </c>
      <c r="R50" s="7">
        <f t="shared" si="39"/>
        <v>3.6428968662341816</v>
      </c>
      <c r="S50" s="7">
        <f t="shared" si="40"/>
        <v>-5.1454606731134556</v>
      </c>
      <c r="T50" s="7">
        <f t="shared" si="41"/>
        <v>3.2853237391343431</v>
      </c>
      <c r="U50" s="7">
        <f t="shared" si="42"/>
        <v>-1.3690867399265656</v>
      </c>
      <c r="V50" s="7">
        <f t="shared" si="43"/>
        <v>-0.54019017692017535</v>
      </c>
      <c r="W50" s="7">
        <f t="shared" si="44"/>
        <v>17.116564564091455</v>
      </c>
      <c r="X50" s="7">
        <f t="shared" si="45"/>
        <v>-9.225757420764543</v>
      </c>
      <c r="Y50" s="7" t="e">
        <f t="shared" si="46"/>
        <v>#VALUE!</v>
      </c>
      <c r="Z50" s="7" t="e">
        <f t="shared" si="47"/>
        <v>#VALUE!</v>
      </c>
      <c r="AA50" s="7" t="e">
        <f t="shared" si="48"/>
        <v>#VALUE!</v>
      </c>
      <c r="AB50" s="7" t="e">
        <f t="shared" si="49"/>
        <v>#VALUE!</v>
      </c>
      <c r="AC50" s="7" t="e">
        <f t="shared" si="50"/>
        <v>#VALUE!</v>
      </c>
      <c r="AD50" s="7" t="e">
        <f t="shared" si="51"/>
        <v>#VALUE!</v>
      </c>
      <c r="AE50" s="7" t="e">
        <f t="shared" si="52"/>
        <v>#VALUE!</v>
      </c>
      <c r="AF50" s="7" t="e">
        <f t="shared" si="53"/>
        <v>#VALUE!</v>
      </c>
      <c r="AG50" s="7" t="e">
        <f t="shared" si="54"/>
        <v>#VALUE!</v>
      </c>
      <c r="AH50" s="7">
        <f t="shared" si="34"/>
        <v>28.647889756541161</v>
      </c>
      <c r="AJ50">
        <f t="shared" si="35"/>
        <v>940</v>
      </c>
      <c r="AK50" s="7">
        <f t="shared" si="55"/>
        <v>23.241707357724497</v>
      </c>
      <c r="AL50" s="7">
        <f t="shared" si="56"/>
        <v>9.746838545390732</v>
      </c>
      <c r="AM50" s="7">
        <f t="shared" si="57"/>
        <v>23.484020004116726</v>
      </c>
      <c r="AN50" s="7">
        <f t="shared" si="58"/>
        <v>13.338405234976129</v>
      </c>
      <c r="AO50" s="7">
        <f t="shared" si="59"/>
        <v>13.900396496921513</v>
      </c>
      <c r="AP50" s="7">
        <f t="shared" si="60"/>
        <v>43.308267332191377</v>
      </c>
      <c r="AQ50" s="7">
        <f t="shared" si="61"/>
        <v>7.7318341566046422</v>
      </c>
      <c r="AR50" s="7" t="e">
        <f t="shared" si="62"/>
        <v>#VALUE!</v>
      </c>
      <c r="AS50" s="7" t="e">
        <f t="shared" si="63"/>
        <v>#VALUE!</v>
      </c>
      <c r="AT50" s="7" t="e">
        <f t="shared" si="64"/>
        <v>#VALUE!</v>
      </c>
      <c r="AU50" s="7" t="e">
        <f t="shared" si="65"/>
        <v>#VALUE!</v>
      </c>
      <c r="AV50" s="7" t="e">
        <f t="shared" si="66"/>
        <v>#VALUE!</v>
      </c>
      <c r="AW50" s="7" t="e">
        <f t="shared" si="67"/>
        <v>#VALUE!</v>
      </c>
      <c r="AX50" s="7" t="e">
        <f t="shared" si="68"/>
        <v>#VALUE!</v>
      </c>
      <c r="AY50" s="7" t="e">
        <f t="shared" si="69"/>
        <v>#VALUE!</v>
      </c>
      <c r="AZ50" s="7" t="e">
        <f t="shared" si="70"/>
        <v>#VALUE!</v>
      </c>
      <c r="BA50" s="7"/>
    </row>
    <row r="51" spans="3:53" x14ac:dyDescent="0.25">
      <c r="C51" s="1" t="s">
        <v>125</v>
      </c>
      <c r="P51">
        <f t="shared" si="36"/>
        <v>24</v>
      </c>
      <c r="Q51">
        <f t="shared" si="33"/>
        <v>960</v>
      </c>
      <c r="R51" s="7">
        <f t="shared" si="39"/>
        <v>2.7747073523677113</v>
      </c>
      <c r="S51" s="7">
        <f t="shared" si="40"/>
        <v>-5.4111875399284184</v>
      </c>
      <c r="T51" s="7">
        <f t="shared" si="41"/>
        <v>2.4419853687577504</v>
      </c>
      <c r="U51" s="7">
        <f t="shared" si="42"/>
        <v>-1.6561638734568422</v>
      </c>
      <c r="V51" s="7">
        <f t="shared" si="43"/>
        <v>-0.91510658219452168</v>
      </c>
      <c r="W51" s="7">
        <f t="shared" si="44"/>
        <v>16.113881919697988</v>
      </c>
      <c r="X51" s="7">
        <f t="shared" si="45"/>
        <v>-10.332604058173086</v>
      </c>
      <c r="Y51" s="7" t="e">
        <f t="shared" si="46"/>
        <v>#VALUE!</v>
      </c>
      <c r="Z51" s="7" t="e">
        <f t="shared" si="47"/>
        <v>#VALUE!</v>
      </c>
      <c r="AA51" s="7" t="e">
        <f t="shared" si="48"/>
        <v>#VALUE!</v>
      </c>
      <c r="AB51" s="7" t="e">
        <f t="shared" si="49"/>
        <v>#VALUE!</v>
      </c>
      <c r="AC51" s="7" t="e">
        <f t="shared" si="50"/>
        <v>#VALUE!</v>
      </c>
      <c r="AD51" s="7" t="e">
        <f t="shared" si="51"/>
        <v>#VALUE!</v>
      </c>
      <c r="AE51" s="7" t="e">
        <f t="shared" si="52"/>
        <v>#VALUE!</v>
      </c>
      <c r="AF51" s="7" t="e">
        <f t="shared" si="53"/>
        <v>#VALUE!</v>
      </c>
      <c r="AG51" s="7" t="e">
        <f t="shared" si="54"/>
        <v>#VALUE!</v>
      </c>
      <c r="AH51" s="7">
        <f t="shared" si="34"/>
        <v>28.647889756541161</v>
      </c>
      <c r="AJ51">
        <f t="shared" si="35"/>
        <v>960</v>
      </c>
      <c r="AK51" s="7">
        <f t="shared" si="55"/>
        <v>22.328500354309227</v>
      </c>
      <c r="AL51" s="7">
        <f t="shared" si="56"/>
        <v>9.5302862807640469</v>
      </c>
      <c r="AM51" s="7">
        <f t="shared" si="57"/>
        <v>22.597573358113561</v>
      </c>
      <c r="AN51" s="7">
        <f t="shared" si="58"/>
        <v>13.142680503582961</v>
      </c>
      <c r="AO51" s="7">
        <f t="shared" si="59"/>
        <v>13.579296203474238</v>
      </c>
      <c r="AP51" s="7">
        <f t="shared" si="60"/>
        <v>42.353220758871373</v>
      </c>
      <c r="AQ51" s="7">
        <f t="shared" si="61"/>
        <v>6.2021196542278378</v>
      </c>
      <c r="AR51" s="7" t="e">
        <f t="shared" si="62"/>
        <v>#VALUE!</v>
      </c>
      <c r="AS51" s="7" t="e">
        <f t="shared" si="63"/>
        <v>#VALUE!</v>
      </c>
      <c r="AT51" s="7" t="e">
        <f t="shared" si="64"/>
        <v>#VALUE!</v>
      </c>
      <c r="AU51" s="7" t="e">
        <f t="shared" si="65"/>
        <v>#VALUE!</v>
      </c>
      <c r="AV51" s="7" t="e">
        <f t="shared" si="66"/>
        <v>#VALUE!</v>
      </c>
      <c r="AW51" s="7" t="e">
        <f t="shared" si="67"/>
        <v>#VALUE!</v>
      </c>
      <c r="AX51" s="7" t="e">
        <f t="shared" si="68"/>
        <v>#VALUE!</v>
      </c>
      <c r="AY51" s="7" t="e">
        <f t="shared" si="69"/>
        <v>#VALUE!</v>
      </c>
      <c r="AZ51" s="7" t="e">
        <f t="shared" si="70"/>
        <v>#VALUE!</v>
      </c>
      <c r="BA51" s="7"/>
    </row>
    <row r="52" spans="3:53" x14ac:dyDescent="0.25">
      <c r="C52" s="1"/>
      <c r="P52">
        <f t="shared" si="36"/>
        <v>24.5</v>
      </c>
      <c r="Q52">
        <f t="shared" si="33"/>
        <v>980</v>
      </c>
      <c r="R52" s="7">
        <f t="shared" si="39"/>
        <v>1.9399283886065817</v>
      </c>
      <c r="S52" s="7">
        <f t="shared" si="40"/>
        <v>-5.6663179495278193</v>
      </c>
      <c r="T52" s="7">
        <f t="shared" si="41"/>
        <v>1.6308383083195412</v>
      </c>
      <c r="U52" s="7">
        <f t="shared" si="42"/>
        <v>-1.9318151742101399</v>
      </c>
      <c r="V52" s="7">
        <f t="shared" si="43"/>
        <v>-1.2752844936656604</v>
      </c>
      <c r="W52" s="7">
        <f t="shared" si="44"/>
        <v>15.148738098916988</v>
      </c>
      <c r="X52" s="7">
        <f t="shared" si="45"/>
        <v>-11.397571020298685</v>
      </c>
      <c r="Y52" s="7" t="e">
        <f t="shared" si="46"/>
        <v>#VALUE!</v>
      </c>
      <c r="Z52" s="7" t="e">
        <f t="shared" si="47"/>
        <v>#VALUE!</v>
      </c>
      <c r="AA52" s="7" t="e">
        <f t="shared" si="48"/>
        <v>#VALUE!</v>
      </c>
      <c r="AB52" s="7" t="e">
        <f t="shared" si="49"/>
        <v>#VALUE!</v>
      </c>
      <c r="AC52" s="7" t="e">
        <f t="shared" si="50"/>
        <v>#VALUE!</v>
      </c>
      <c r="AD52" s="7" t="e">
        <f t="shared" si="51"/>
        <v>#VALUE!</v>
      </c>
      <c r="AE52" s="7" t="e">
        <f t="shared" si="52"/>
        <v>#VALUE!</v>
      </c>
      <c r="AF52" s="7" t="e">
        <f t="shared" si="53"/>
        <v>#VALUE!</v>
      </c>
      <c r="AG52" s="7" t="e">
        <f t="shared" si="54"/>
        <v>#VALUE!</v>
      </c>
      <c r="AH52" s="7">
        <f t="shared" si="34"/>
        <v>28.647889756541161</v>
      </c>
      <c r="AJ52">
        <f t="shared" si="35"/>
        <v>980</v>
      </c>
      <c r="AK52" s="7">
        <f t="shared" si="55"/>
        <v>21.419928843382795</v>
      </c>
      <c r="AL52" s="7">
        <f t="shared" si="56"/>
        <v>9.3148115235413904</v>
      </c>
      <c r="AM52" s="7">
        <f t="shared" si="57"/>
        <v>21.716442044922672</v>
      </c>
      <c r="AN52" s="7">
        <f t="shared" si="58"/>
        <v>12.949019865446276</v>
      </c>
      <c r="AO52" s="7">
        <f t="shared" si="59"/>
        <v>13.260551607057772</v>
      </c>
      <c r="AP52" s="7">
        <f t="shared" si="60"/>
        <v>41.413759521911381</v>
      </c>
      <c r="AQ52" s="7">
        <f t="shared" si="61"/>
        <v>4.6736015483439424</v>
      </c>
      <c r="AR52" s="7" t="e">
        <f t="shared" si="62"/>
        <v>#VALUE!</v>
      </c>
      <c r="AS52" s="7" t="e">
        <f t="shared" si="63"/>
        <v>#VALUE!</v>
      </c>
      <c r="AT52" s="7" t="e">
        <f t="shared" si="64"/>
        <v>#VALUE!</v>
      </c>
      <c r="AU52" s="7" t="e">
        <f t="shared" si="65"/>
        <v>#VALUE!</v>
      </c>
      <c r="AV52" s="7" t="e">
        <f t="shared" si="66"/>
        <v>#VALUE!</v>
      </c>
      <c r="AW52" s="7" t="e">
        <f t="shared" si="67"/>
        <v>#VALUE!</v>
      </c>
      <c r="AX52" s="7" t="e">
        <f t="shared" si="68"/>
        <v>#VALUE!</v>
      </c>
      <c r="AY52" s="7" t="e">
        <f t="shared" si="69"/>
        <v>#VALUE!</v>
      </c>
      <c r="AZ52" s="7" t="e">
        <f t="shared" si="70"/>
        <v>#VALUE!</v>
      </c>
      <c r="BA52" s="7"/>
    </row>
    <row r="53" spans="3:53" x14ac:dyDescent="0.25">
      <c r="C53" s="1"/>
      <c r="P53">
        <f t="shared" si="36"/>
        <v>25</v>
      </c>
      <c r="Q53">
        <f t="shared" si="33"/>
        <v>1000</v>
      </c>
      <c r="R53" s="7">
        <f t="shared" si="39"/>
        <v>1.1366677756650905</v>
      </c>
      <c r="S53" s="7">
        <f t="shared" si="40"/>
        <v>-5.9114733475309951</v>
      </c>
      <c r="T53" s="7">
        <f t="shared" si="41"/>
        <v>0.85007390164893337</v>
      </c>
      <c r="U53" s="7">
        <f t="shared" si="42"/>
        <v>-2.196709464375</v>
      </c>
      <c r="V53" s="7">
        <f t="shared" si="43"/>
        <v>-1.6215762446543085</v>
      </c>
      <c r="W53" s="7">
        <f t="shared" si="44"/>
        <v>14.219063748708857</v>
      </c>
      <c r="X53" s="7">
        <f t="shared" si="45"/>
        <v>-12.422991072129149</v>
      </c>
      <c r="Y53" s="7" t="e">
        <f t="shared" si="46"/>
        <v>#VALUE!</v>
      </c>
      <c r="Z53" s="7" t="e">
        <f t="shared" si="47"/>
        <v>#VALUE!</v>
      </c>
      <c r="AA53" s="7" t="e">
        <f t="shared" si="48"/>
        <v>#VALUE!</v>
      </c>
      <c r="AB53" s="7" t="e">
        <f t="shared" si="49"/>
        <v>#VALUE!</v>
      </c>
      <c r="AC53" s="7" t="e">
        <f t="shared" si="50"/>
        <v>#VALUE!</v>
      </c>
      <c r="AD53" s="7" t="e">
        <f t="shared" si="51"/>
        <v>#VALUE!</v>
      </c>
      <c r="AE53" s="7" t="e">
        <f t="shared" si="52"/>
        <v>#VALUE!</v>
      </c>
      <c r="AF53" s="7" t="e">
        <f t="shared" si="53"/>
        <v>#VALUE!</v>
      </c>
      <c r="AG53" s="7" t="e">
        <f t="shared" si="54"/>
        <v>#VALUE!</v>
      </c>
      <c r="AH53" s="7">
        <f t="shared" si="34"/>
        <v>28.647889756541161</v>
      </c>
      <c r="AJ53">
        <f t="shared" si="35"/>
        <v>1000</v>
      </c>
      <c r="AK53" s="7">
        <f t="shared" si="55"/>
        <v>20.51547621682252</v>
      </c>
      <c r="AL53" s="7">
        <f t="shared" si="56"/>
        <v>9.1003092060858375</v>
      </c>
      <c r="AM53" s="7">
        <f t="shared" si="57"/>
        <v>20.840045980621685</v>
      </c>
      <c r="AN53" s="7">
        <f t="shared" si="58"/>
        <v>12.75723856175909</v>
      </c>
      <c r="AO53" s="7">
        <f t="shared" si="59"/>
        <v>12.943934551416595</v>
      </c>
      <c r="AP53" s="7">
        <f t="shared" si="60"/>
        <v>40.488471896191278</v>
      </c>
      <c r="AQ53" s="7">
        <f t="shared" si="61"/>
        <v>3.1459196224237886</v>
      </c>
      <c r="AR53" s="7" t="e">
        <f t="shared" si="62"/>
        <v>#VALUE!</v>
      </c>
      <c r="AS53" s="7" t="e">
        <f t="shared" si="63"/>
        <v>#VALUE!</v>
      </c>
      <c r="AT53" s="7" t="e">
        <f t="shared" si="64"/>
        <v>#VALUE!</v>
      </c>
      <c r="AU53" s="7" t="e">
        <f t="shared" si="65"/>
        <v>#VALUE!</v>
      </c>
      <c r="AV53" s="7" t="e">
        <f t="shared" si="66"/>
        <v>#VALUE!</v>
      </c>
      <c r="AW53" s="7" t="e">
        <f t="shared" si="67"/>
        <v>#VALUE!</v>
      </c>
      <c r="AX53" s="7" t="e">
        <f t="shared" si="68"/>
        <v>#VALUE!</v>
      </c>
      <c r="AY53" s="7" t="e">
        <f t="shared" si="69"/>
        <v>#VALUE!</v>
      </c>
      <c r="AZ53" s="7" t="e">
        <f t="shared" si="70"/>
        <v>#VALUE!</v>
      </c>
      <c r="BA53" s="7"/>
    </row>
    <row r="54" spans="3:53" x14ac:dyDescent="0.25">
      <c r="C54" s="1"/>
      <c r="P54">
        <f t="shared" si="36"/>
        <v>25.5</v>
      </c>
      <c r="Q54">
        <f t="shared" si="33"/>
        <v>1020</v>
      </c>
      <c r="R54" s="7">
        <f t="shared" si="39"/>
        <v>0.36317355253295425</v>
      </c>
      <c r="S54" s="7">
        <f t="shared" si="40"/>
        <v>-6.1472275171173543</v>
      </c>
      <c r="T54" s="7">
        <f t="shared" si="41"/>
        <v>9.8016493232162105E-2</v>
      </c>
      <c r="U54" s="7">
        <f t="shared" si="42"/>
        <v>-2.4514643649704961</v>
      </c>
      <c r="V54" s="7">
        <f t="shared" si="43"/>
        <v>-1.9547696903524843</v>
      </c>
      <c r="W54" s="7">
        <f t="shared" si="44"/>
        <v>13.322938870918749</v>
      </c>
      <c r="X54" s="7">
        <f t="shared" si="45"/>
        <v>-13.411026885151109</v>
      </c>
      <c r="Y54" s="7" t="e">
        <f t="shared" si="46"/>
        <v>#VALUE!</v>
      </c>
      <c r="Z54" s="7" t="e">
        <f t="shared" si="47"/>
        <v>#VALUE!</v>
      </c>
      <c r="AA54" s="7" t="e">
        <f t="shared" si="48"/>
        <v>#VALUE!</v>
      </c>
      <c r="AB54" s="7" t="e">
        <f t="shared" si="49"/>
        <v>#VALUE!</v>
      </c>
      <c r="AC54" s="7" t="e">
        <f t="shared" si="50"/>
        <v>#VALUE!</v>
      </c>
      <c r="AD54" s="7" t="e">
        <f t="shared" si="51"/>
        <v>#VALUE!</v>
      </c>
      <c r="AE54" s="7" t="e">
        <f t="shared" si="52"/>
        <v>#VALUE!</v>
      </c>
      <c r="AF54" s="7" t="e">
        <f t="shared" si="53"/>
        <v>#VALUE!</v>
      </c>
      <c r="AG54" s="7" t="e">
        <f t="shared" si="54"/>
        <v>#VALUE!</v>
      </c>
      <c r="AH54" s="7">
        <f t="shared" si="34"/>
        <v>28.647889756541161</v>
      </c>
      <c r="AJ54">
        <f t="shared" si="35"/>
        <v>1020</v>
      </c>
      <c r="AK54" s="7">
        <f t="shared" si="55"/>
        <v>19.614682636158875</v>
      </c>
      <c r="AL54" s="7">
        <f t="shared" si="56"/>
        <v>8.8866854691450765</v>
      </c>
      <c r="AM54" s="7">
        <f t="shared" si="57"/>
        <v>19.967868053805692</v>
      </c>
      <c r="AN54" s="7">
        <f t="shared" si="58"/>
        <v>12.567170778612606</v>
      </c>
      <c r="AO54" s="7">
        <f t="shared" si="59"/>
        <v>12.62924096261513</v>
      </c>
      <c r="AP54" s="7">
        <f t="shared" si="60"/>
        <v>39.576087209551183</v>
      </c>
      <c r="AQ54" s="7">
        <f t="shared" si="61"/>
        <v>1.618760940950122</v>
      </c>
      <c r="AR54" s="7" t="e">
        <f t="shared" si="62"/>
        <v>#VALUE!</v>
      </c>
      <c r="AS54" s="7" t="e">
        <f t="shared" si="63"/>
        <v>#VALUE!</v>
      </c>
      <c r="AT54" s="7" t="e">
        <f t="shared" si="64"/>
        <v>#VALUE!</v>
      </c>
      <c r="AU54" s="7" t="e">
        <f t="shared" si="65"/>
        <v>#VALUE!</v>
      </c>
      <c r="AV54" s="7" t="e">
        <f t="shared" si="66"/>
        <v>#VALUE!</v>
      </c>
      <c r="AW54" s="7" t="e">
        <f t="shared" si="67"/>
        <v>#VALUE!</v>
      </c>
      <c r="AX54" s="7" t="e">
        <f t="shared" si="68"/>
        <v>#VALUE!</v>
      </c>
      <c r="AY54" s="7" t="e">
        <f t="shared" si="69"/>
        <v>#VALUE!</v>
      </c>
      <c r="AZ54" s="7" t="e">
        <f t="shared" si="70"/>
        <v>#VALUE!</v>
      </c>
      <c r="BA54" s="7"/>
    </row>
    <row r="55" spans="3:53" x14ac:dyDescent="0.25">
      <c r="C55" s="1"/>
      <c r="P55">
        <f t="shared" si="36"/>
        <v>26</v>
      </c>
      <c r="Q55">
        <f t="shared" si="33"/>
        <v>1040</v>
      </c>
      <c r="R55" s="7">
        <f t="shared" si="39"/>
        <v>-0.38217875918920363</v>
      </c>
      <c r="S55" s="7">
        <f t="shared" si="40"/>
        <v>-6.374111062463454</v>
      </c>
      <c r="T55" s="7">
        <f t="shared" si="41"/>
        <v>-0.62688857645245477</v>
      </c>
      <c r="U55" s="7">
        <f t="shared" si="42"/>
        <v>-2.6966511034190059</v>
      </c>
      <c r="V55" s="7">
        <f t="shared" si="43"/>
        <v>-2.2755941917825959</v>
      </c>
      <c r="W55" s="7">
        <f t="shared" si="44"/>
        <v>12.458579586547236</v>
      </c>
      <c r="X55" s="7">
        <f t="shared" si="45"/>
        <v>-14.363686262764126</v>
      </c>
      <c r="Y55" s="7" t="e">
        <f t="shared" si="46"/>
        <v>#VALUE!</v>
      </c>
      <c r="Z55" s="7" t="e">
        <f t="shared" si="47"/>
        <v>#VALUE!</v>
      </c>
      <c r="AA55" s="7" t="e">
        <f t="shared" si="48"/>
        <v>#VALUE!</v>
      </c>
      <c r="AB55" s="7" t="e">
        <f t="shared" si="49"/>
        <v>#VALUE!</v>
      </c>
      <c r="AC55" s="7" t="e">
        <f t="shared" si="50"/>
        <v>#VALUE!</v>
      </c>
      <c r="AD55" s="7" t="e">
        <f t="shared" si="51"/>
        <v>#VALUE!</v>
      </c>
      <c r="AE55" s="7" t="e">
        <f t="shared" si="52"/>
        <v>#VALUE!</v>
      </c>
      <c r="AF55" s="7" t="e">
        <f t="shared" si="53"/>
        <v>#VALUE!</v>
      </c>
      <c r="AG55" s="7" t="e">
        <f t="shared" si="54"/>
        <v>#VALUE!</v>
      </c>
      <c r="AH55" s="7">
        <f t="shared" si="34"/>
        <v>28.647889756541161</v>
      </c>
      <c r="AJ55">
        <f t="shared" si="35"/>
        <v>1040</v>
      </c>
      <c r="AK55" s="7">
        <f t="shared" si="55"/>
        <v>18.71713821850264</v>
      </c>
      <c r="AL55" s="7">
        <f t="shared" si="56"/>
        <v>8.673856316773465</v>
      </c>
      <c r="AM55" s="7">
        <f t="shared" si="57"/>
        <v>19.099446641079989</v>
      </c>
      <c r="AN55" s="7">
        <f t="shared" si="58"/>
        <v>12.378667425838255</v>
      </c>
      <c r="AO55" s="7">
        <f t="shared" si="59"/>
        <v>12.316287992633184</v>
      </c>
      <c r="AP55" s="7">
        <f t="shared" si="60"/>
        <v>38.675459933760131</v>
      </c>
      <c r="AQ55" s="7">
        <f t="shared" si="61"/>
        <v>9.1853769706028404E-2</v>
      </c>
      <c r="AR55" s="7" t="e">
        <f t="shared" si="62"/>
        <v>#VALUE!</v>
      </c>
      <c r="AS55" s="7" t="e">
        <f t="shared" si="63"/>
        <v>#VALUE!</v>
      </c>
      <c r="AT55" s="7" t="e">
        <f t="shared" si="64"/>
        <v>#VALUE!</v>
      </c>
      <c r="AU55" s="7" t="e">
        <f t="shared" si="65"/>
        <v>#VALUE!</v>
      </c>
      <c r="AV55" s="7" t="e">
        <f t="shared" si="66"/>
        <v>#VALUE!</v>
      </c>
      <c r="AW55" s="7" t="e">
        <f t="shared" si="67"/>
        <v>#VALUE!</v>
      </c>
      <c r="AX55" s="7" t="e">
        <f t="shared" si="68"/>
        <v>#VALUE!</v>
      </c>
      <c r="AY55" s="7" t="e">
        <f t="shared" si="69"/>
        <v>#VALUE!</v>
      </c>
      <c r="AZ55" s="7" t="e">
        <f t="shared" si="70"/>
        <v>#VALUE!</v>
      </c>
      <c r="BA55" s="7"/>
    </row>
    <row r="56" spans="3:53" x14ac:dyDescent="0.25">
      <c r="C56" s="1"/>
      <c r="P56">
        <f t="shared" si="36"/>
        <v>26.5</v>
      </c>
      <c r="Q56">
        <f t="shared" si="33"/>
        <v>1060</v>
      </c>
      <c r="R56" s="7">
        <f t="shared" si="39"/>
        <v>-1.1008975435673882</v>
      </c>
      <c r="S56" s="7">
        <f t="shared" si="40"/>
        <v>-6.5926153954362068</v>
      </c>
      <c r="T56" s="7">
        <f t="shared" si="41"/>
        <v>-1.326085698403471</v>
      </c>
      <c r="U56" s="7">
        <f t="shared" si="42"/>
        <v>-2.9327987894111995</v>
      </c>
      <c r="V56" s="7">
        <f t="shared" si="43"/>
        <v>-2.5847259454836724</v>
      </c>
      <c r="W56" s="7">
        <f t="shared" si="44"/>
        <v>11.624326283038227</v>
      </c>
      <c r="X56" s="7">
        <f t="shared" si="45"/>
        <v>-14.419910279977152</v>
      </c>
      <c r="Y56" s="7" t="e">
        <f t="shared" si="46"/>
        <v>#VALUE!</v>
      </c>
      <c r="Z56" s="7" t="e">
        <f t="shared" si="47"/>
        <v>#VALUE!</v>
      </c>
      <c r="AA56" s="7" t="e">
        <f t="shared" si="48"/>
        <v>#VALUE!</v>
      </c>
      <c r="AB56" s="7" t="e">
        <f t="shared" si="49"/>
        <v>#VALUE!</v>
      </c>
      <c r="AC56" s="7" t="e">
        <f t="shared" si="50"/>
        <v>#VALUE!</v>
      </c>
      <c r="AD56" s="7" t="e">
        <f t="shared" si="51"/>
        <v>#VALUE!</v>
      </c>
      <c r="AE56" s="7" t="e">
        <f t="shared" si="52"/>
        <v>#VALUE!</v>
      </c>
      <c r="AF56" s="7" t="e">
        <f t="shared" si="53"/>
        <v>#VALUE!</v>
      </c>
      <c r="AG56" s="7" t="e">
        <f t="shared" si="54"/>
        <v>#VALUE!</v>
      </c>
      <c r="AH56" s="7">
        <f t="shared" si="34"/>
        <v>28.647889756541161</v>
      </c>
      <c r="AJ56">
        <f t="shared" si="35"/>
        <v>1060</v>
      </c>
      <c r="AK56" s="7">
        <f t="shared" si="55"/>
        <v>17.82247712669675</v>
      </c>
      <c r="AL56" s="7">
        <f t="shared" si="56"/>
        <v>8.4617464519007282</v>
      </c>
      <c r="AM56" s="7">
        <f t="shared" si="57"/>
        <v>18.234369107013293</v>
      </c>
      <c r="AN56" s="7">
        <f t="shared" si="58"/>
        <v>12.191594209522428</v>
      </c>
      <c r="AO56" s="7">
        <f t="shared" si="59"/>
        <v>12.004911541980864</v>
      </c>
      <c r="AP56" s="7">
        <f t="shared" si="60"/>
        <v>37.785555787846938</v>
      </c>
      <c r="AQ56" s="7">
        <f t="shared" si="61"/>
        <v>0</v>
      </c>
      <c r="AR56" s="7" t="e">
        <f t="shared" si="62"/>
        <v>#VALUE!</v>
      </c>
      <c r="AS56" s="7" t="e">
        <f t="shared" si="63"/>
        <v>#VALUE!</v>
      </c>
      <c r="AT56" s="7" t="e">
        <f t="shared" si="64"/>
        <v>#VALUE!</v>
      </c>
      <c r="AU56" s="7" t="e">
        <f t="shared" si="65"/>
        <v>#VALUE!</v>
      </c>
      <c r="AV56" s="7" t="e">
        <f t="shared" si="66"/>
        <v>#VALUE!</v>
      </c>
      <c r="AW56" s="7" t="e">
        <f t="shared" si="67"/>
        <v>#VALUE!</v>
      </c>
      <c r="AX56" s="7" t="e">
        <f t="shared" si="68"/>
        <v>#VALUE!</v>
      </c>
      <c r="AY56" s="7" t="e">
        <f t="shared" si="69"/>
        <v>#VALUE!</v>
      </c>
      <c r="AZ56" s="7" t="e">
        <f t="shared" si="70"/>
        <v>#VALUE!</v>
      </c>
      <c r="BA56" s="7"/>
    </row>
    <row r="57" spans="3:53" x14ac:dyDescent="0.25">
      <c r="P57">
        <f t="shared" si="36"/>
        <v>27</v>
      </c>
      <c r="Q57">
        <f t="shared" si="33"/>
        <v>1080</v>
      </c>
      <c r="R57" s="7">
        <f t="shared" si="39"/>
        <v>-1.7943852792351525</v>
      </c>
      <c r="S57" s="7">
        <f t="shared" si="40"/>
        <v>-6.8031962885877153</v>
      </c>
      <c r="T57" s="7">
        <f t="shared" si="41"/>
        <v>-2.0009186011372382</v>
      </c>
      <c r="U57" s="7">
        <f t="shared" si="42"/>
        <v>-3.1603982264282005</v>
      </c>
      <c r="V57" s="7">
        <f t="shared" si="43"/>
        <v>-2.8827927408905607</v>
      </c>
      <c r="W57" s="7">
        <f t="shared" si="44"/>
        <v>10.818632978871451</v>
      </c>
      <c r="X57" s="7">
        <f t="shared" si="45"/>
        <v>-14.419910279977152</v>
      </c>
      <c r="Y57" s="7" t="e">
        <f t="shared" si="46"/>
        <v>#VALUE!</v>
      </c>
      <c r="Z57" s="7" t="e">
        <f t="shared" si="47"/>
        <v>#VALUE!</v>
      </c>
      <c r="AA57" s="7" t="e">
        <f t="shared" si="48"/>
        <v>#VALUE!</v>
      </c>
      <c r="AB57" s="7" t="e">
        <f t="shared" si="49"/>
        <v>#VALUE!</v>
      </c>
      <c r="AC57" s="7" t="e">
        <f t="shared" si="50"/>
        <v>#VALUE!</v>
      </c>
      <c r="AD57" s="7" t="e">
        <f t="shared" si="51"/>
        <v>#VALUE!</v>
      </c>
      <c r="AE57" s="7" t="e">
        <f t="shared" si="52"/>
        <v>#VALUE!</v>
      </c>
      <c r="AF57" s="7" t="e">
        <f t="shared" si="53"/>
        <v>#VALUE!</v>
      </c>
      <c r="AG57" s="7" t="e">
        <f t="shared" si="54"/>
        <v>#VALUE!</v>
      </c>
      <c r="AH57" s="7">
        <f t="shared" si="34"/>
        <v>28.647889756541161</v>
      </c>
      <c r="AJ57">
        <f t="shared" si="35"/>
        <v>1080</v>
      </c>
      <c r="AK57" s="7">
        <f t="shared" si="55"/>
        <v>16.930372431614952</v>
      </c>
      <c r="AL57" s="7">
        <f t="shared" si="56"/>
        <v>8.2502882656799681</v>
      </c>
      <c r="AM57" s="7">
        <f t="shared" si="57"/>
        <v>17.372266145935985</v>
      </c>
      <c r="AN57" s="7">
        <f t="shared" si="58"/>
        <v>12.005829955013466</v>
      </c>
      <c r="AO57" s="7">
        <f t="shared" si="59"/>
        <v>11.694964105643027</v>
      </c>
      <c r="AP57" s="7">
        <f t="shared" si="60"/>
        <v>36.90543957145259</v>
      </c>
      <c r="AQ57" s="7">
        <f t="shared" si="61"/>
        <v>0</v>
      </c>
      <c r="AR57" s="7" t="e">
        <f t="shared" si="62"/>
        <v>#VALUE!</v>
      </c>
      <c r="AS57" s="7" t="e">
        <f t="shared" si="63"/>
        <v>#VALUE!</v>
      </c>
      <c r="AT57" s="7" t="e">
        <f t="shared" si="64"/>
        <v>#VALUE!</v>
      </c>
      <c r="AU57" s="7" t="e">
        <f t="shared" si="65"/>
        <v>#VALUE!</v>
      </c>
      <c r="AV57" s="7" t="e">
        <f t="shared" si="66"/>
        <v>#VALUE!</v>
      </c>
      <c r="AW57" s="7" t="e">
        <f t="shared" si="67"/>
        <v>#VALUE!</v>
      </c>
      <c r="AX57" s="7" t="e">
        <f t="shared" si="68"/>
        <v>#VALUE!</v>
      </c>
      <c r="AY57" s="7" t="e">
        <f t="shared" si="69"/>
        <v>#VALUE!</v>
      </c>
      <c r="AZ57" s="7" t="e">
        <f t="shared" si="70"/>
        <v>#VALUE!</v>
      </c>
      <c r="BA57" s="7"/>
    </row>
    <row r="58" spans="3:53" x14ac:dyDescent="0.25">
      <c r="P58">
        <f t="shared" si="36"/>
        <v>27.5</v>
      </c>
      <c r="Q58">
        <f t="shared" si="33"/>
        <v>1100</v>
      </c>
      <c r="R58" s="7">
        <f t="shared" si="39"/>
        <v>-2.4639476737425721</v>
      </c>
      <c r="S58" s="7">
        <f t="shared" si="40"/>
        <v>-7.0062770485154591</v>
      </c>
      <c r="T58" s="7">
        <f t="shared" si="41"/>
        <v>-2.652638969729157</v>
      </c>
      <c r="U58" s="7">
        <f t="shared" si="42"/>
        <v>-3.3799053167053081</v>
      </c>
      <c r="V58" s="7">
        <f t="shared" si="43"/>
        <v>-3.1703782158429181</v>
      </c>
      <c r="W58" s="7">
        <f t="shared" si="44"/>
        <v>10.040057762057058</v>
      </c>
      <c r="X58" s="7">
        <f t="shared" si="45"/>
        <v>-14.419910279977152</v>
      </c>
      <c r="Y58" s="7" t="e">
        <f t="shared" si="46"/>
        <v>#VALUE!</v>
      </c>
      <c r="Z58" s="7" t="e">
        <f t="shared" si="47"/>
        <v>#VALUE!</v>
      </c>
      <c r="AA58" s="7" t="e">
        <f t="shared" si="48"/>
        <v>#VALUE!</v>
      </c>
      <c r="AB58" s="7" t="e">
        <f t="shared" si="49"/>
        <v>#VALUE!</v>
      </c>
      <c r="AC58" s="7" t="e">
        <f t="shared" si="50"/>
        <v>#VALUE!</v>
      </c>
      <c r="AD58" s="7" t="e">
        <f t="shared" si="51"/>
        <v>#VALUE!</v>
      </c>
      <c r="AE58" s="7" t="e">
        <f t="shared" si="52"/>
        <v>#VALUE!</v>
      </c>
      <c r="AF58" s="7" t="e">
        <f t="shared" si="53"/>
        <v>#VALUE!</v>
      </c>
      <c r="AG58" s="7" t="e">
        <f t="shared" si="54"/>
        <v>#VALUE!</v>
      </c>
      <c r="AH58" s="7">
        <f t="shared" si="34"/>
        <v>28.647889756541161</v>
      </c>
      <c r="AJ58">
        <f t="shared" si="35"/>
        <v>1100</v>
      </c>
      <c r="AK58" s="7">
        <f t="shared" si="55"/>
        <v>16.04053163560144</v>
      </c>
      <c r="AL58" s="7">
        <f t="shared" si="56"/>
        <v>8.0394209581265876</v>
      </c>
      <c r="AM58" s="7">
        <f t="shared" si="57"/>
        <v>16.512806845542137</v>
      </c>
      <c r="AN58" s="7">
        <f t="shared" si="58"/>
        <v>11.821265144215946</v>
      </c>
      <c r="AO58" s="7">
        <f t="shared" si="59"/>
        <v>11.386312895630507</v>
      </c>
      <c r="AP58" s="7">
        <f t="shared" si="60"/>
        <v>36.034264489331676</v>
      </c>
      <c r="AQ58" s="7">
        <f t="shared" si="61"/>
        <v>0</v>
      </c>
      <c r="AR58" s="7" t="e">
        <f t="shared" si="62"/>
        <v>#VALUE!</v>
      </c>
      <c r="AS58" s="7" t="e">
        <f t="shared" si="63"/>
        <v>#VALUE!</v>
      </c>
      <c r="AT58" s="7" t="e">
        <f t="shared" si="64"/>
        <v>#VALUE!</v>
      </c>
      <c r="AU58" s="7" t="e">
        <f t="shared" si="65"/>
        <v>#VALUE!</v>
      </c>
      <c r="AV58" s="7" t="e">
        <f t="shared" si="66"/>
        <v>#VALUE!</v>
      </c>
      <c r="AW58" s="7" t="e">
        <f t="shared" si="67"/>
        <v>#VALUE!</v>
      </c>
      <c r="AX58" s="7" t="e">
        <f t="shared" si="68"/>
        <v>#VALUE!</v>
      </c>
      <c r="AY58" s="7" t="e">
        <f t="shared" si="69"/>
        <v>#VALUE!</v>
      </c>
      <c r="AZ58" s="7" t="e">
        <f t="shared" si="70"/>
        <v>#VALUE!</v>
      </c>
      <c r="BA58" s="7"/>
    </row>
    <row r="59" spans="3:53" x14ac:dyDescent="0.25">
      <c r="P59">
        <f t="shared" si="36"/>
        <v>28</v>
      </c>
      <c r="Q59">
        <f t="shared" si="33"/>
        <v>1120</v>
      </c>
      <c r="R59" s="7">
        <f t="shared" si="39"/>
        <v>-3.1108018685312775</v>
      </c>
      <c r="S59" s="7">
        <f t="shared" si="40"/>
        <v>-7.2022513560840951</v>
      </c>
      <c r="T59" s="7">
        <f t="shared" si="41"/>
        <v>-3.2824141941774148</v>
      </c>
      <c r="U59" s="7">
        <f t="shared" si="42"/>
        <v>-3.5917441093469913</v>
      </c>
      <c r="V59" s="7">
        <f t="shared" si="43"/>
        <v>-3.4480256709245145</v>
      </c>
      <c r="W59" s="7">
        <f t="shared" si="44"/>
        <v>9.2872541781169193</v>
      </c>
      <c r="X59" s="7">
        <f t="shared" si="45"/>
        <v>-14.419910279977152</v>
      </c>
      <c r="Y59" s="7" t="e">
        <f t="shared" si="46"/>
        <v>#VALUE!</v>
      </c>
      <c r="Z59" s="7" t="e">
        <f t="shared" si="47"/>
        <v>#VALUE!</v>
      </c>
      <c r="AA59" s="7" t="e">
        <f t="shared" si="48"/>
        <v>#VALUE!</v>
      </c>
      <c r="AB59" s="7" t="e">
        <f t="shared" si="49"/>
        <v>#VALUE!</v>
      </c>
      <c r="AC59" s="7" t="e">
        <f t="shared" si="50"/>
        <v>#VALUE!</v>
      </c>
      <c r="AD59" s="7" t="e">
        <f t="shared" si="51"/>
        <v>#VALUE!</v>
      </c>
      <c r="AE59" s="7" t="e">
        <f t="shared" si="52"/>
        <v>#VALUE!</v>
      </c>
      <c r="AF59" s="7" t="e">
        <f t="shared" si="53"/>
        <v>#VALUE!</v>
      </c>
      <c r="AG59" s="7" t="e">
        <f t="shared" si="54"/>
        <v>#VALUE!</v>
      </c>
      <c r="AH59" s="7">
        <f t="shared" si="34"/>
        <v>28.647889756541161</v>
      </c>
      <c r="AJ59">
        <f t="shared" si="35"/>
        <v>1120</v>
      </c>
      <c r="AK59" s="7">
        <f t="shared" si="55"/>
        <v>15.152692763473906</v>
      </c>
      <c r="AL59" s="7">
        <f t="shared" si="56"/>
        <v>7.8290897711638472</v>
      </c>
      <c r="AM59" s="7">
        <f t="shared" si="57"/>
        <v>15.655694370955315</v>
      </c>
      <c r="AN59" s="7">
        <f t="shared" si="58"/>
        <v>11.637800636717571</v>
      </c>
      <c r="AO59" s="7">
        <f t="shared" si="59"/>
        <v>11.078838200814944</v>
      </c>
      <c r="AP59" s="7">
        <f t="shared" si="60"/>
        <v>35.171262764324815</v>
      </c>
      <c r="AQ59" s="7">
        <f t="shared" si="61"/>
        <v>0</v>
      </c>
      <c r="AR59" s="7" t="e">
        <f t="shared" si="62"/>
        <v>#VALUE!</v>
      </c>
      <c r="AS59" s="7" t="e">
        <f t="shared" si="63"/>
        <v>#VALUE!</v>
      </c>
      <c r="AT59" s="7" t="e">
        <f t="shared" si="64"/>
        <v>#VALUE!</v>
      </c>
      <c r="AU59" s="7" t="e">
        <f t="shared" si="65"/>
        <v>#VALUE!</v>
      </c>
      <c r="AV59" s="7" t="e">
        <f t="shared" si="66"/>
        <v>#VALUE!</v>
      </c>
      <c r="AW59" s="7" t="e">
        <f t="shared" si="67"/>
        <v>#VALUE!</v>
      </c>
      <c r="AX59" s="7" t="e">
        <f t="shared" si="68"/>
        <v>#VALUE!</v>
      </c>
      <c r="AY59" s="7" t="e">
        <f t="shared" si="69"/>
        <v>#VALUE!</v>
      </c>
      <c r="AZ59" s="7" t="e">
        <f t="shared" si="70"/>
        <v>#VALUE!</v>
      </c>
      <c r="BA59" s="7"/>
    </row>
    <row r="60" spans="3:53" x14ac:dyDescent="0.25">
      <c r="P60">
        <f t="shared" si="36"/>
        <v>28.5</v>
      </c>
      <c r="Q60">
        <f t="shared" si="33"/>
        <v>1140</v>
      </c>
      <c r="R60" s="7">
        <f t="shared" si="39"/>
        <v>-3.7360838230149298</v>
      </c>
      <c r="S60" s="7">
        <f t="shared" si="40"/>
        <v>-7.3914858136087807</v>
      </c>
      <c r="T60" s="7">
        <f t="shared" si="41"/>
        <v>-3.8913343480030846</v>
      </c>
      <c r="U60" s="7">
        <f t="shared" si="42"/>
        <v>-3.7963095344758484</v>
      </c>
      <c r="V60" s="7">
        <f t="shared" si="43"/>
        <v>-3.7162414950853702</v>
      </c>
      <c r="W60" s="7">
        <f t="shared" si="44"/>
        <v>8.5589634593421255</v>
      </c>
      <c r="X60" s="7">
        <f t="shared" si="45"/>
        <v>-14.419910279977152</v>
      </c>
      <c r="Y60" s="7" t="e">
        <f t="shared" si="46"/>
        <v>#VALUE!</v>
      </c>
      <c r="Z60" s="7" t="e">
        <f t="shared" si="47"/>
        <v>#VALUE!</v>
      </c>
      <c r="AA60" s="7" t="e">
        <f t="shared" si="48"/>
        <v>#VALUE!</v>
      </c>
      <c r="AB60" s="7" t="e">
        <f t="shared" si="49"/>
        <v>#VALUE!</v>
      </c>
      <c r="AC60" s="7" t="e">
        <f t="shared" si="50"/>
        <v>#VALUE!</v>
      </c>
      <c r="AD60" s="7" t="e">
        <f t="shared" si="51"/>
        <v>#VALUE!</v>
      </c>
      <c r="AE60" s="7" t="e">
        <f t="shared" si="52"/>
        <v>#VALUE!</v>
      </c>
      <c r="AF60" s="7" t="e">
        <f t="shared" si="53"/>
        <v>#VALUE!</v>
      </c>
      <c r="AG60" s="7" t="e">
        <f t="shared" si="54"/>
        <v>#VALUE!</v>
      </c>
      <c r="AH60" s="7">
        <f t="shared" si="34"/>
        <v>28.647889756541161</v>
      </c>
      <c r="AJ60">
        <f t="shared" si="35"/>
        <v>1140</v>
      </c>
      <c r="AK60" s="7">
        <f t="shared" si="55"/>
        <v>14.266620941976422</v>
      </c>
      <c r="AL60" s="7">
        <f t="shared" si="56"/>
        <v>7.6192453181679074</v>
      </c>
      <c r="AM60" s="7">
        <f t="shared" si="57"/>
        <v>14.800662183461622</v>
      </c>
      <c r="AN60" s="7">
        <f t="shared" si="58"/>
        <v>11.455346549050752</v>
      </c>
      <c r="AO60" s="7">
        <f t="shared" si="59"/>
        <v>10.772431950851148</v>
      </c>
      <c r="AP60" s="7">
        <f t="shared" si="60"/>
        <v>34.31573736635643</v>
      </c>
      <c r="AQ60" s="7">
        <f t="shared" si="61"/>
        <v>0</v>
      </c>
      <c r="AR60" s="7" t="e">
        <f t="shared" si="62"/>
        <v>#VALUE!</v>
      </c>
      <c r="AS60" s="7" t="e">
        <f t="shared" si="63"/>
        <v>#VALUE!</v>
      </c>
      <c r="AT60" s="7" t="e">
        <f t="shared" si="64"/>
        <v>#VALUE!</v>
      </c>
      <c r="AU60" s="7" t="e">
        <f t="shared" si="65"/>
        <v>#VALUE!</v>
      </c>
      <c r="AV60" s="7" t="e">
        <f t="shared" si="66"/>
        <v>#VALUE!</v>
      </c>
      <c r="AW60" s="7" t="e">
        <f t="shared" si="67"/>
        <v>#VALUE!</v>
      </c>
      <c r="AX60" s="7" t="e">
        <f t="shared" si="68"/>
        <v>#VALUE!</v>
      </c>
      <c r="AY60" s="7" t="e">
        <f t="shared" si="69"/>
        <v>#VALUE!</v>
      </c>
      <c r="AZ60" s="7" t="e">
        <f t="shared" si="70"/>
        <v>#VALUE!</v>
      </c>
      <c r="BA60" s="7"/>
    </row>
    <row r="61" spans="3:53" x14ac:dyDescent="0.25">
      <c r="P61">
        <f t="shared" si="36"/>
        <v>29</v>
      </c>
      <c r="Q61">
        <f t="shared" si="33"/>
        <v>1160</v>
      </c>
      <c r="R61" s="7">
        <f t="shared" si="39"/>
        <v>-4.3408549720110354</v>
      </c>
      <c r="S61" s="7">
        <f t="shared" si="40"/>
        <v>-7.5743222336769076</v>
      </c>
      <c r="T61" s="7">
        <f t="shared" si="41"/>
        <v>-4.4804184848513966</v>
      </c>
      <c r="U61" s="7">
        <f t="shared" si="42"/>
        <v>-3.9939698605082805</v>
      </c>
      <c r="V61" s="7">
        <f t="shared" si="43"/>
        <v>-3.9754982479912027</v>
      </c>
      <c r="W61" s="7">
        <f t="shared" si="44"/>
        <v>7.8540075009847445</v>
      </c>
      <c r="X61" s="7">
        <f t="shared" si="45"/>
        <v>-14.419910279977152</v>
      </c>
      <c r="Y61" s="7" t="e">
        <f t="shared" si="46"/>
        <v>#VALUE!</v>
      </c>
      <c r="Z61" s="7" t="e">
        <f t="shared" si="47"/>
        <v>#VALUE!</v>
      </c>
      <c r="AA61" s="7" t="e">
        <f t="shared" si="48"/>
        <v>#VALUE!</v>
      </c>
      <c r="AB61" s="7" t="e">
        <f t="shared" si="49"/>
        <v>#VALUE!</v>
      </c>
      <c r="AC61" s="7" t="e">
        <f t="shared" si="50"/>
        <v>#VALUE!</v>
      </c>
      <c r="AD61" s="7" t="e">
        <f t="shared" si="51"/>
        <v>#VALUE!</v>
      </c>
      <c r="AE61" s="7" t="e">
        <f t="shared" si="52"/>
        <v>#VALUE!</v>
      </c>
      <c r="AF61" s="7" t="e">
        <f t="shared" si="53"/>
        <v>#VALUE!</v>
      </c>
      <c r="AG61" s="7" t="e">
        <f t="shared" si="54"/>
        <v>#VALUE!</v>
      </c>
      <c r="AH61" s="7">
        <f t="shared" si="34"/>
        <v>28.647889756541161</v>
      </c>
      <c r="AJ61">
        <f t="shared" si="35"/>
        <v>1160</v>
      </c>
      <c r="AK61" s="7">
        <f t="shared" si="55"/>
        <v>13.382105400609072</v>
      </c>
      <c r="AL61" s="7">
        <f t="shared" si="56"/>
        <v>7.4098429965722818</v>
      </c>
      <c r="AM61" s="7">
        <f t="shared" si="57"/>
        <v>13.947470721072214</v>
      </c>
      <c r="AN61" s="7">
        <f t="shared" si="58"/>
        <v>11.273821270339264</v>
      </c>
      <c r="AO61" s="7">
        <f t="shared" si="59"/>
        <v>10.466996456080885</v>
      </c>
      <c r="AP61" s="7">
        <f t="shared" si="60"/>
        <v>33.467054710341841</v>
      </c>
      <c r="AQ61" s="7">
        <f t="shared" si="61"/>
        <v>0</v>
      </c>
      <c r="AR61" s="7" t="e">
        <f t="shared" si="62"/>
        <v>#VALUE!</v>
      </c>
      <c r="AS61" s="7" t="e">
        <f t="shared" si="63"/>
        <v>#VALUE!</v>
      </c>
      <c r="AT61" s="7" t="e">
        <f t="shared" si="64"/>
        <v>#VALUE!</v>
      </c>
      <c r="AU61" s="7" t="e">
        <f t="shared" si="65"/>
        <v>#VALUE!</v>
      </c>
      <c r="AV61" s="7" t="e">
        <f t="shared" si="66"/>
        <v>#VALUE!</v>
      </c>
      <c r="AW61" s="7" t="e">
        <f t="shared" si="67"/>
        <v>#VALUE!</v>
      </c>
      <c r="AX61" s="7" t="e">
        <f t="shared" si="68"/>
        <v>#VALUE!</v>
      </c>
      <c r="AY61" s="7" t="e">
        <f t="shared" si="69"/>
        <v>#VALUE!</v>
      </c>
      <c r="AZ61" s="7" t="e">
        <f t="shared" si="70"/>
        <v>#VALUE!</v>
      </c>
      <c r="BA61" s="7"/>
    </row>
    <row r="62" spans="3:53" x14ac:dyDescent="0.25">
      <c r="P62">
        <f t="shared" si="36"/>
        <v>29.5</v>
      </c>
      <c r="Q62">
        <f t="shared" si="33"/>
        <v>1180</v>
      </c>
      <c r="R62" s="7">
        <f t="shared" si="39"/>
        <v>-4.9261082386034083</v>
      </c>
      <c r="S62" s="7">
        <f t="shared" si="40"/>
        <v>-7.7510796996732303</v>
      </c>
      <c r="T62" s="7">
        <f t="shared" si="41"/>
        <v>-5.0506203296058869</v>
      </c>
      <c r="U62" s="7">
        <f t="shared" si="42"/>
        <v>-4.1850689067243634</v>
      </c>
      <c r="V62" s="7">
        <f t="shared" si="43"/>
        <v>-4.2262374385724248</v>
      </c>
      <c r="W62" s="7">
        <f t="shared" si="44"/>
        <v>7.1712825019420787</v>
      </c>
      <c r="X62" s="7">
        <f t="shared" si="45"/>
        <v>-14.419910279977152</v>
      </c>
      <c r="Y62" s="7" t="e">
        <f t="shared" si="46"/>
        <v>#VALUE!</v>
      </c>
      <c r="Z62" s="7" t="e">
        <f t="shared" si="47"/>
        <v>#VALUE!</v>
      </c>
      <c r="AA62" s="7" t="e">
        <f t="shared" si="48"/>
        <v>#VALUE!</v>
      </c>
      <c r="AB62" s="7" t="e">
        <f t="shared" si="49"/>
        <v>#VALUE!</v>
      </c>
      <c r="AC62" s="7" t="e">
        <f t="shared" si="50"/>
        <v>#VALUE!</v>
      </c>
      <c r="AD62" s="7" t="e">
        <f t="shared" si="51"/>
        <v>#VALUE!</v>
      </c>
      <c r="AE62" s="7" t="e">
        <f t="shared" si="52"/>
        <v>#VALUE!</v>
      </c>
      <c r="AF62" s="7" t="e">
        <f t="shared" si="53"/>
        <v>#VALUE!</v>
      </c>
      <c r="AG62" s="7" t="e">
        <f t="shared" si="54"/>
        <v>#VALUE!</v>
      </c>
      <c r="AH62" s="7">
        <f t="shared" si="34"/>
        <v>28.647889756541161</v>
      </c>
      <c r="AJ62">
        <f t="shared" si="35"/>
        <v>1180</v>
      </c>
      <c r="AK62" s="7">
        <f t="shared" si="55"/>
        <v>12.498956836816792</v>
      </c>
      <c r="AL62" s="7">
        <f t="shared" si="56"/>
        <v>7.2008424721435169</v>
      </c>
      <c r="AM62" s="7">
        <f t="shared" si="57"/>
        <v>13.095904478915321</v>
      </c>
      <c r="AN62" s="7">
        <f t="shared" si="58"/>
        <v>11.09315059586905</v>
      </c>
      <c r="AO62" s="7">
        <f t="shared" si="59"/>
        <v>10.162443299554663</v>
      </c>
      <c r="AP62" s="7">
        <f t="shared" si="60"/>
        <v>32.624638197171627</v>
      </c>
      <c r="AQ62" s="7">
        <f t="shared" si="61"/>
        <v>0</v>
      </c>
      <c r="AR62" s="7" t="e">
        <f t="shared" si="62"/>
        <v>#VALUE!</v>
      </c>
      <c r="AS62" s="7" t="e">
        <f t="shared" si="63"/>
        <v>#VALUE!</v>
      </c>
      <c r="AT62" s="7" t="e">
        <f t="shared" si="64"/>
        <v>#VALUE!</v>
      </c>
      <c r="AU62" s="7" t="e">
        <f t="shared" si="65"/>
        <v>#VALUE!</v>
      </c>
      <c r="AV62" s="7" t="e">
        <f t="shared" si="66"/>
        <v>#VALUE!</v>
      </c>
      <c r="AW62" s="7" t="e">
        <f t="shared" si="67"/>
        <v>#VALUE!</v>
      </c>
      <c r="AX62" s="7" t="e">
        <f t="shared" si="68"/>
        <v>#VALUE!</v>
      </c>
      <c r="AY62" s="7" t="e">
        <f t="shared" si="69"/>
        <v>#VALUE!</v>
      </c>
      <c r="AZ62" s="7" t="e">
        <f t="shared" si="70"/>
        <v>#VALUE!</v>
      </c>
      <c r="BA62" s="7"/>
    </row>
    <row r="63" spans="3:53" x14ac:dyDescent="0.25">
      <c r="P63">
        <f t="shared" si="36"/>
        <v>30</v>
      </c>
      <c r="Q63">
        <f t="shared" si="33"/>
        <v>1200</v>
      </c>
      <c r="R63" s="7">
        <f t="shared" si="39"/>
        <v>-5.4927734740872181</v>
      </c>
      <c r="S63" s="7">
        <f t="shared" si="40"/>
        <v>-7.9220564241404947</v>
      </c>
      <c r="T63" s="7">
        <f t="shared" si="41"/>
        <v>-5.6028334308723791</v>
      </c>
      <c r="U63" s="7">
        <f t="shared" si="42"/>
        <v>-4.3699280390981299</v>
      </c>
      <c r="V63" s="7">
        <f t="shared" si="43"/>
        <v>-4.4688720341416301</v>
      </c>
      <c r="W63" s="7">
        <f t="shared" si="44"/>
        <v>6.5097531977297241</v>
      </c>
      <c r="X63" s="7">
        <f t="shared" si="45"/>
        <v>-14.419910279977152</v>
      </c>
      <c r="Y63" s="7" t="e">
        <f t="shared" si="46"/>
        <v>#VALUE!</v>
      </c>
      <c r="Z63" s="7" t="e">
        <f t="shared" si="47"/>
        <v>#VALUE!</v>
      </c>
      <c r="AA63" s="7" t="e">
        <f t="shared" si="48"/>
        <v>#VALUE!</v>
      </c>
      <c r="AB63" s="7" t="e">
        <f t="shared" si="49"/>
        <v>#VALUE!</v>
      </c>
      <c r="AC63" s="7" t="e">
        <f t="shared" si="50"/>
        <v>#VALUE!</v>
      </c>
      <c r="AD63" s="7" t="e">
        <f t="shared" si="51"/>
        <v>#VALUE!</v>
      </c>
      <c r="AE63" s="7" t="e">
        <f t="shared" si="52"/>
        <v>#VALUE!</v>
      </c>
      <c r="AF63" s="7" t="e">
        <f t="shared" si="53"/>
        <v>#VALUE!</v>
      </c>
      <c r="AG63" s="7" t="e">
        <f t="shared" si="54"/>
        <v>#VALUE!</v>
      </c>
      <c r="AH63" s="7">
        <f t="shared" si="34"/>
        <v>28.647889756541161</v>
      </c>
      <c r="AJ63">
        <f t="shared" si="35"/>
        <v>1200</v>
      </c>
      <c r="AK63" s="7">
        <f t="shared" si="55"/>
        <v>11.617005096940895</v>
      </c>
      <c r="AL63" s="7">
        <f t="shared" si="56"/>
        <v>6.9922072252512368</v>
      </c>
      <c r="AM63" s="7">
        <f t="shared" si="57"/>
        <v>12.245769436546547</v>
      </c>
      <c r="AN63" s="7">
        <f t="shared" si="58"/>
        <v>10.913266962869175</v>
      </c>
      <c r="AO63" s="7">
        <f t="shared" si="59"/>
        <v>9.8586923608546702</v>
      </c>
      <c r="AP63" s="7">
        <f t="shared" si="60"/>
        <v>31.787962489877199</v>
      </c>
      <c r="AQ63" s="7">
        <f t="shared" si="61"/>
        <v>0</v>
      </c>
      <c r="AR63" s="7" t="e">
        <f t="shared" si="62"/>
        <v>#VALUE!</v>
      </c>
      <c r="AS63" s="7" t="e">
        <f t="shared" si="63"/>
        <v>#VALUE!</v>
      </c>
      <c r="AT63" s="7" t="e">
        <f t="shared" si="64"/>
        <v>#VALUE!</v>
      </c>
      <c r="AU63" s="7" t="e">
        <f t="shared" si="65"/>
        <v>#VALUE!</v>
      </c>
      <c r="AV63" s="7" t="e">
        <f t="shared" si="66"/>
        <v>#VALUE!</v>
      </c>
      <c r="AW63" s="7" t="e">
        <f t="shared" si="67"/>
        <v>#VALUE!</v>
      </c>
      <c r="AX63" s="7" t="e">
        <f t="shared" si="68"/>
        <v>#VALUE!</v>
      </c>
      <c r="AY63" s="7" t="e">
        <f t="shared" si="69"/>
        <v>#VALUE!</v>
      </c>
      <c r="AZ63" s="7" t="e">
        <f t="shared" si="70"/>
        <v>#VALUE!</v>
      </c>
      <c r="BA63" s="7"/>
    </row>
    <row r="64" spans="3:53" x14ac:dyDescent="0.25">
      <c r="P64">
        <f t="shared" si="36"/>
        <v>30.5</v>
      </c>
      <c r="Q64">
        <f t="shared" si="33"/>
        <v>1220</v>
      </c>
      <c r="R64" s="7">
        <f t="shared" si="39"/>
        <v>-6.0417223876877895</v>
      </c>
      <c r="S64" s="7">
        <f t="shared" si="40"/>
        <v>-8.087531427744036</v>
      </c>
      <c r="T64" s="7">
        <f t="shared" si="41"/>
        <v>-6.1378958333835287</v>
      </c>
      <c r="U64" s="7">
        <f t="shared" si="42"/>
        <v>-4.5488479737603216</v>
      </c>
      <c r="V64" s="7">
        <f t="shared" si="43"/>
        <v>-4.7037887300755035</v>
      </c>
      <c r="W64" s="7">
        <f t="shared" si="44"/>
        <v>5.8684476223689757</v>
      </c>
      <c r="X64" s="7">
        <f t="shared" si="45"/>
        <v>-14.419910279977152</v>
      </c>
      <c r="Y64" s="7" t="e">
        <f t="shared" si="46"/>
        <v>#VALUE!</v>
      </c>
      <c r="Z64" s="7" t="e">
        <f t="shared" si="47"/>
        <v>#VALUE!</v>
      </c>
      <c r="AA64" s="7" t="e">
        <f t="shared" si="48"/>
        <v>#VALUE!</v>
      </c>
      <c r="AB64" s="7" t="e">
        <f t="shared" si="49"/>
        <v>#VALUE!</v>
      </c>
      <c r="AC64" s="7" t="e">
        <f t="shared" si="50"/>
        <v>#VALUE!</v>
      </c>
      <c r="AD64" s="7" t="e">
        <f t="shared" si="51"/>
        <v>#VALUE!</v>
      </c>
      <c r="AE64" s="7" t="e">
        <f t="shared" si="52"/>
        <v>#VALUE!</v>
      </c>
      <c r="AF64" s="7" t="e">
        <f t="shared" si="53"/>
        <v>#VALUE!</v>
      </c>
      <c r="AG64" s="7" t="e">
        <f t="shared" si="54"/>
        <v>#VALUE!</v>
      </c>
      <c r="AH64" s="7">
        <f t="shared" si="34"/>
        <v>28.647889756541161</v>
      </c>
      <c r="AJ64">
        <f t="shared" si="35"/>
        <v>1220</v>
      </c>
      <c r="AK64" s="7">
        <f t="shared" si="55"/>
        <v>10.736097131410755</v>
      </c>
      <c r="AL64" s="7">
        <f t="shared" si="56"/>
        <v>6.7839041508878433</v>
      </c>
      <c r="AM64" s="7">
        <f t="shared" si="57"/>
        <v>11.396890786911827</v>
      </c>
      <c r="AN64" s="7">
        <f t="shared" si="58"/>
        <v>10.734108775091487</v>
      </c>
      <c r="AO64" s="7">
        <f t="shared" si="59"/>
        <v>9.5556709543762963</v>
      </c>
      <c r="AP64" s="7">
        <f t="shared" si="60"/>
        <v>30.956548432236296</v>
      </c>
      <c r="AQ64" s="7">
        <f t="shared" si="61"/>
        <v>0</v>
      </c>
      <c r="AR64" s="7" t="e">
        <f t="shared" si="62"/>
        <v>#VALUE!</v>
      </c>
      <c r="AS64" s="7" t="e">
        <f t="shared" si="63"/>
        <v>#VALUE!</v>
      </c>
      <c r="AT64" s="7" t="e">
        <f t="shared" si="64"/>
        <v>#VALUE!</v>
      </c>
      <c r="AU64" s="7" t="e">
        <f t="shared" si="65"/>
        <v>#VALUE!</v>
      </c>
      <c r="AV64" s="7" t="e">
        <f t="shared" si="66"/>
        <v>#VALUE!</v>
      </c>
      <c r="AW64" s="7" t="e">
        <f t="shared" si="67"/>
        <v>#VALUE!</v>
      </c>
      <c r="AX64" s="7" t="e">
        <f t="shared" si="68"/>
        <v>#VALUE!</v>
      </c>
      <c r="AY64" s="7" t="e">
        <f t="shared" si="69"/>
        <v>#VALUE!</v>
      </c>
      <c r="AZ64" s="7" t="e">
        <f t="shared" si="70"/>
        <v>#VALUE!</v>
      </c>
      <c r="BA64" s="7"/>
    </row>
    <row r="65" spans="16:53" x14ac:dyDescent="0.25">
      <c r="P65">
        <f t="shared" si="36"/>
        <v>31</v>
      </c>
      <c r="Q65">
        <f t="shared" si="33"/>
        <v>1240</v>
      </c>
      <c r="R65" s="7">
        <f t="shared" si="39"/>
        <v>-6.5737730210252012</v>
      </c>
      <c r="S65" s="7">
        <f t="shared" si="40"/>
        <v>-8.2477660587246611</v>
      </c>
      <c r="T65" s="7">
        <f t="shared" si="41"/>
        <v>-6.6565943217123582</v>
      </c>
      <c r="U65" s="7">
        <f t="shared" si="42"/>
        <v>-4.7221104093831219</v>
      </c>
      <c r="V65" s="7">
        <f t="shared" si="43"/>
        <v>-4.9313500063003772</v>
      </c>
      <c r="W65" s="7">
        <f t="shared" si="44"/>
        <v>5.246452343447352</v>
      </c>
      <c r="X65" s="7">
        <f t="shared" si="45"/>
        <v>-14.419910279977152</v>
      </c>
      <c r="Y65" s="7" t="e">
        <f t="shared" si="46"/>
        <v>#VALUE!</v>
      </c>
      <c r="Z65" s="7" t="e">
        <f t="shared" si="47"/>
        <v>#VALUE!</v>
      </c>
      <c r="AA65" s="7" t="e">
        <f t="shared" si="48"/>
        <v>#VALUE!</v>
      </c>
      <c r="AB65" s="7" t="e">
        <f t="shared" si="49"/>
        <v>#VALUE!</v>
      </c>
      <c r="AC65" s="7" t="e">
        <f t="shared" si="50"/>
        <v>#VALUE!</v>
      </c>
      <c r="AD65" s="7" t="e">
        <f t="shared" si="51"/>
        <v>#VALUE!</v>
      </c>
      <c r="AE65" s="7" t="e">
        <f t="shared" si="52"/>
        <v>#VALUE!</v>
      </c>
      <c r="AF65" s="7" t="e">
        <f t="shared" si="53"/>
        <v>#VALUE!</v>
      </c>
      <c r="AG65" s="7" t="e">
        <f t="shared" si="54"/>
        <v>#VALUE!</v>
      </c>
      <c r="AH65" s="7">
        <f t="shared" si="34"/>
        <v>28.647889756541161</v>
      </c>
      <c r="AJ65">
        <f t="shared" si="35"/>
        <v>1240</v>
      </c>
      <c r="AK65" s="7">
        <f t="shared" si="55"/>
        <v>9.8560951886107127</v>
      </c>
      <c r="AL65" s="7">
        <f t="shared" si="56"/>
        <v>6.5759032053949475</v>
      </c>
      <c r="AM65" s="7">
        <f t="shared" si="57"/>
        <v>10.549110928144399</v>
      </c>
      <c r="AN65" s="7">
        <f t="shared" si="58"/>
        <v>10.555619804712471</v>
      </c>
      <c r="AO65" s="7">
        <f t="shared" si="59"/>
        <v>9.2533130672266619</v>
      </c>
      <c r="AP65" s="7">
        <f t="shared" si="60"/>
        <v>30.129958529917719</v>
      </c>
      <c r="AQ65" s="7">
        <f t="shared" si="61"/>
        <v>0</v>
      </c>
      <c r="AR65" s="7" t="e">
        <f t="shared" si="62"/>
        <v>#VALUE!</v>
      </c>
      <c r="AS65" s="7" t="e">
        <f t="shared" si="63"/>
        <v>#VALUE!</v>
      </c>
      <c r="AT65" s="7" t="e">
        <f t="shared" si="64"/>
        <v>#VALUE!</v>
      </c>
      <c r="AU65" s="7" t="e">
        <f t="shared" si="65"/>
        <v>#VALUE!</v>
      </c>
      <c r="AV65" s="7" t="e">
        <f t="shared" si="66"/>
        <v>#VALUE!</v>
      </c>
      <c r="AW65" s="7" t="e">
        <f t="shared" si="67"/>
        <v>#VALUE!</v>
      </c>
      <c r="AX65" s="7" t="e">
        <f t="shared" si="68"/>
        <v>#VALUE!</v>
      </c>
      <c r="AY65" s="7" t="e">
        <f t="shared" si="69"/>
        <v>#VALUE!</v>
      </c>
      <c r="AZ65" s="7" t="e">
        <f t="shared" si="70"/>
        <v>#VALUE!</v>
      </c>
      <c r="BA65" s="7"/>
    </row>
    <row r="66" spans="16:53" x14ac:dyDescent="0.25">
      <c r="P66">
        <f t="shared" si="36"/>
        <v>31.5</v>
      </c>
      <c r="Q66">
        <f t="shared" si="33"/>
        <v>1260</v>
      </c>
      <c r="R66" s="7">
        <f t="shared" si="39"/>
        <v>-7.0896938156304445</v>
      </c>
      <c r="S66" s="7">
        <f t="shared" si="40"/>
        <v>-8.4030053702445784</v>
      </c>
      <c r="T66" s="7">
        <f t="shared" si="41"/>
        <v>-7.1596682804911289</v>
      </c>
      <c r="U66" s="7">
        <f t="shared" si="42"/>
        <v>-4.8899795071255907</v>
      </c>
      <c r="V66" s="7">
        <f t="shared" si="43"/>
        <v>-5.1518959935849242</v>
      </c>
      <c r="W66" s="7">
        <f t="shared" si="44"/>
        <v>4.6429081212248917</v>
      </c>
      <c r="X66" s="7">
        <f t="shared" si="45"/>
        <v>-14.419910279977152</v>
      </c>
      <c r="Y66" s="7" t="e">
        <f t="shared" si="46"/>
        <v>#VALUE!</v>
      </c>
      <c r="Z66" s="7" t="e">
        <f t="shared" si="47"/>
        <v>#VALUE!</v>
      </c>
      <c r="AA66" s="7" t="e">
        <f t="shared" si="48"/>
        <v>#VALUE!</v>
      </c>
      <c r="AB66" s="7" t="e">
        <f t="shared" si="49"/>
        <v>#VALUE!</v>
      </c>
      <c r="AC66" s="7" t="e">
        <f t="shared" si="50"/>
        <v>#VALUE!</v>
      </c>
      <c r="AD66" s="7" t="e">
        <f t="shared" si="51"/>
        <v>#VALUE!</v>
      </c>
      <c r="AE66" s="7" t="e">
        <f t="shared" si="52"/>
        <v>#VALUE!</v>
      </c>
      <c r="AF66" s="7" t="e">
        <f t="shared" si="53"/>
        <v>#VALUE!</v>
      </c>
      <c r="AG66" s="7" t="e">
        <f t="shared" si="54"/>
        <v>#VALUE!</v>
      </c>
      <c r="AH66" s="7">
        <f t="shared" si="34"/>
        <v>28.647889756541161</v>
      </c>
      <c r="AJ66">
        <f t="shared" si="35"/>
        <v>1260</v>
      </c>
      <c r="AK66" s="7">
        <f t="shared" si="55"/>
        <v>8.9768752168888781</v>
      </c>
      <c r="AL66" s="7">
        <f t="shared" si="56"/>
        <v>6.3681770938650724</v>
      </c>
      <c r="AM66" s="7">
        <f t="shared" si="57"/>
        <v>9.7022876848296811</v>
      </c>
      <c r="AN66" s="7">
        <f t="shared" si="58"/>
        <v>10.377748661711953</v>
      </c>
      <c r="AO66" s="7">
        <f t="shared" si="59"/>
        <v>8.951558684007848</v>
      </c>
      <c r="AP66" s="7">
        <f t="shared" si="60"/>
        <v>29.307792925170652</v>
      </c>
      <c r="AQ66" s="7">
        <f t="shared" si="61"/>
        <v>0</v>
      </c>
      <c r="AR66" s="7" t="e">
        <f t="shared" si="62"/>
        <v>#VALUE!</v>
      </c>
      <c r="AS66" s="7" t="e">
        <f t="shared" si="63"/>
        <v>#VALUE!</v>
      </c>
      <c r="AT66" s="7" t="e">
        <f t="shared" si="64"/>
        <v>#VALUE!</v>
      </c>
      <c r="AU66" s="7" t="e">
        <f t="shared" si="65"/>
        <v>#VALUE!</v>
      </c>
      <c r="AV66" s="7" t="e">
        <f t="shared" si="66"/>
        <v>#VALUE!</v>
      </c>
      <c r="AW66" s="7" t="e">
        <f t="shared" si="67"/>
        <v>#VALUE!</v>
      </c>
      <c r="AX66" s="7" t="e">
        <f t="shared" si="68"/>
        <v>#VALUE!</v>
      </c>
      <c r="AY66" s="7" t="e">
        <f t="shared" si="69"/>
        <v>#VALUE!</v>
      </c>
      <c r="AZ66" s="7" t="e">
        <f t="shared" si="70"/>
        <v>#VALUE!</v>
      </c>
      <c r="BA66" s="7"/>
    </row>
    <row r="67" spans="16:53" x14ac:dyDescent="0.25">
      <c r="P67">
        <f t="shared" si="36"/>
        <v>32</v>
      </c>
      <c r="Q67">
        <f t="shared" si="33"/>
        <v>1280</v>
      </c>
      <c r="R67" s="7">
        <f t="shared" ref="R67:R102" si="71">SingleCoilTorque($F$23,$G$23,$H$23,$I$23,$J$23,$K$23,$C$2,$M$23,$P67)-$N$23</f>
        <v>-7.5902073160485353</v>
      </c>
      <c r="S67" s="7">
        <f t="shared" ref="S67:S102" si="72">SingleCoilTorque($F$24,$G$24,$H$24,$I$24,$J$24,$K$24,$C$2,$M$24,$P67)-$N$24</f>
        <v>-8.5534793708940224</v>
      </c>
      <c r="T67" s="7">
        <f t="shared" ref="T67:T102" si="73">SingleCoilTorque($F$25,$G$25,$H$25,$I$25,$J$25,$K$25,$C$2,$M$25,$P67)-$N$25</f>
        <v>-7.6478132109671133</v>
      </c>
      <c r="U67" s="7">
        <f t="shared" ref="U67:U102" si="74">SingleCoilTorque($F$26,$G$26,$H$26,$I$26,$J$26,$K$26,$C$2,$M$26,$P67)-$N$26</f>
        <v>-5.0527032344932783</v>
      </c>
      <c r="V67" s="7">
        <f t="shared" ref="V67:V102" si="75">SingleCoilTorque($F$27,$G$27,$H$27,$I$27,$J$27,$K$27,$C$2,$M$27,$P67)-$N$27</f>
        <v>-5.3657461698500777</v>
      </c>
      <c r="W67" s="7">
        <f t="shared" ref="W67:W102" si="76">SingleCoilTorque($F$28,$G$28,$H$28,$I$28,$J$28,$K$28,$C$2,$M$28,$P67)-$N$28</f>
        <v>4.0570059484032175</v>
      </c>
      <c r="X67" s="7">
        <f t="shared" ref="X67:X102" si="77">SingleCoilTorque($F$29,$G$29,$H$29,$I$29,$J$29,$K$29,$C$2,$M$29,$P67)-$N$29</f>
        <v>-14.419910279977152</v>
      </c>
      <c r="Y67" s="7" t="e">
        <f t="shared" ref="Y67:Y102" si="78">SingleCoilTorque($F$30,$G$30,$H$30,$I$30,$J$30,$K$30,$C$2,$M$30,$P67)-$N$30</f>
        <v>#VALUE!</v>
      </c>
      <c r="Z67" s="7" t="e">
        <f t="shared" ref="Z67:Z102" si="79">SingleCoilTorque($F$31,$G$31,$H$31,$I$31,$J$31,$K$31,$C$2,$M$31,$P67)-$N$31</f>
        <v>#VALUE!</v>
      </c>
      <c r="AA67" s="7" t="e">
        <f t="shared" ref="AA67:AA102" si="80">SingleCoilTorque($F$32,$G$32,$H$32,$I$32,$J$32,$K$32,$C$2,$M$32,$P67)-$N$32</f>
        <v>#VALUE!</v>
      </c>
      <c r="AB67" s="7" t="e">
        <f t="shared" ref="AB67:AB102" si="81">SingleCoilTorque($F$33,$G$33,$H$33,$I$33,$J$33,$K$33,$C$2,$M$33,$P67)-$N$33</f>
        <v>#VALUE!</v>
      </c>
      <c r="AC67" s="7" t="e">
        <f t="shared" ref="AC67:AC102" si="82">SingleCoilTorque($F$34,$G$34,$H$34,$I$34,$J$34,$K$34,$C$2,$M$34,$P67)-$N$34</f>
        <v>#VALUE!</v>
      </c>
      <c r="AD67" s="7" t="e">
        <f t="shared" ref="AD67:AD102" si="83">SingleCoilTorque($F$35,$G$35,$H$35,$I$35,$J$35,$K$35,$C$2,$M$35,$P67)-$N$35</f>
        <v>#VALUE!</v>
      </c>
      <c r="AE67" s="7" t="e">
        <f t="shared" ref="AE67:AE102" si="84">SingleCoilTorque($F$36,$G$36,$H$36,$I$36,$J$36,$K$36,$C$2,$M$36,$P67)-$N$36</f>
        <v>#VALUE!</v>
      </c>
      <c r="AF67" s="7" t="e">
        <f t="shared" ref="AF67:AF102" si="85">SingleCoilTorque($F$37,$G$37,$H$37,$I$37,$J$37,$K$37,$C$2,$M$37,$P67)-$N$37</f>
        <v>#VALUE!</v>
      </c>
      <c r="AG67" s="7" t="e">
        <f t="shared" ref="AG67:AG102" si="86">SingleCoilTorque($F$38,$G$38,$H$38,$I$38,$J$38,$K$38,$C$2,$M$38,$P67)-$N$38</f>
        <v>#VALUE!</v>
      </c>
      <c r="AH67" s="7">
        <f t="shared" si="34"/>
        <v>28.647889756541161</v>
      </c>
      <c r="AJ67">
        <f t="shared" si="35"/>
        <v>1280</v>
      </c>
      <c r="AK67" s="7">
        <f t="shared" ref="AK67:AK102" si="87">StepperPower($F$23,$G$23,$H$23,$I$23,$J$23,$K$23,$C$2,$M$23,$P67)</f>
        <v>8.0983254484347391</v>
      </c>
      <c r="AL67" s="7">
        <f t="shared" ref="AL67:AL102" si="88">StepperPower($F$24,$G$24,$H$24,$I$24,$J$24,$K$24,$C$2,$M$24,$P67)</f>
        <v>6.160700993040841</v>
      </c>
      <c r="AM67" s="7">
        <f t="shared" ref="AM67:AM102" si="89">StepperPower($F$25,$G$25,$H$25,$I$25,$J$25,$K$25,$C$2,$M$25,$P67)</f>
        <v>8.85629272999374</v>
      </c>
      <c r="AN67" s="7">
        <f t="shared" ref="AN67:AN102" si="90">StepperPower($F$26,$G$26,$H$26,$I$26,$J$26,$K$26,$C$2,$M$26,$P67)</f>
        <v>10.200448322261909</v>
      </c>
      <c r="AO67" s="7">
        <f t="shared" ref="AO67:AO102" si="91">StepperPower($F$27,$G$27,$H$27,$I$27,$J$27,$K$27,$C$2,$M$27,$P67)</f>
        <v>8.6503531875359236</v>
      </c>
      <c r="AP67" s="7">
        <f t="shared" ref="AP67:AP102" si="92">StepperPower($F$28,$G$28,$H$28,$I$28,$J$28,$K$28,$C$2,$M$28,$P67)</f>
        <v>28.489685805351158</v>
      </c>
      <c r="AQ67" s="7">
        <f t="shared" ref="AQ67:AQ102" si="93">StepperPower($F$29,$G$29,$H$29,$I$29,$J$29,$K$29,$C$2,$M$29,$P67)</f>
        <v>0</v>
      </c>
      <c r="AR67" s="7" t="e">
        <f t="shared" ref="AR67:AR102" si="94">StepperPower($F$30,$G$30,$H$30,$I$30,$J$30,$K$30,$C$2,$M$30,$P67)</f>
        <v>#VALUE!</v>
      </c>
      <c r="AS67" s="7" t="e">
        <f t="shared" ref="AS67:AS102" si="95">StepperPower($F$31,$G$31,$H$31,$I$31,$J$31,$K$31,$C$2,$M$31,$P67)</f>
        <v>#VALUE!</v>
      </c>
      <c r="AT67" s="7" t="e">
        <f t="shared" ref="AT67:AT102" si="96">StepperPower($F$32,$G$32,$H$32,$I$32,$J$32,$K$32,$C$2,$M$32,$P67)</f>
        <v>#VALUE!</v>
      </c>
      <c r="AU67" s="7" t="e">
        <f t="shared" ref="AU67:AU102" si="97">StepperPower($F$33,$G$33,$H$33,$I$33,$J$33,$K$33,$C$2,$M$33,$P67)</f>
        <v>#VALUE!</v>
      </c>
      <c r="AV67" s="7" t="e">
        <f t="shared" ref="AV67:AV102" si="98">StepperPower($F$34,$G$34,$H$34,$I$34,$J$34,$K$34,$C$2,$M$34,$P67)</f>
        <v>#VALUE!</v>
      </c>
      <c r="AW67" s="7" t="e">
        <f t="shared" ref="AW67:AW102" si="99">StepperPower($F$35,$G$35,$H$35,$I$35,$J$35,$K$35,$C$2,$M$35,$P67)</f>
        <v>#VALUE!</v>
      </c>
      <c r="AX67" s="7" t="e">
        <f t="shared" ref="AX67:AX102" si="100">StepperPower($F$36,$G$36,$H$36,$I$36,$J$36,$K$36,$C$2,$M$36,$P67)</f>
        <v>#VALUE!</v>
      </c>
      <c r="AY67" s="7" t="e">
        <f t="shared" ref="AY67:AY102" si="101">StepperPower($F$37,$G$37,$H$37,$I$37,$J$37,$K$37,$C$2,$M$37,$P67)</f>
        <v>#VALUE!</v>
      </c>
      <c r="AZ67" s="7" t="e">
        <f t="shared" ref="AZ67:AZ102" si="102">StepperPower($F$38,$G$38,$H$38,$I$38,$J$38,$K$38,$C$2,$M$38,$P67)</f>
        <v>#VALUE!</v>
      </c>
      <c r="BA67" s="7"/>
    </row>
    <row r="68" spans="16:53" x14ac:dyDescent="0.25">
      <c r="P68">
        <f t="shared" si="36"/>
        <v>32.5</v>
      </c>
      <c r="Q68">
        <f t="shared" ref="Q68:Q102" si="103">P68*$C$6*2/$C$7</f>
        <v>1300</v>
      </c>
      <c r="R68" s="7">
        <f t="shared" si="71"/>
        <v>-8.0759935460577772</v>
      </c>
      <c r="S68" s="7">
        <f t="shared" si="72"/>
        <v>-8.6994041617799382</v>
      </c>
      <c r="T68" s="7">
        <f t="shared" si="73"/>
        <v>-8.1216839390678928</v>
      </c>
      <c r="U68" s="7">
        <f t="shared" si="74"/>
        <v>-5.2105145874907883</v>
      </c>
      <c r="V68" s="7">
        <f t="shared" si="75"/>
        <v>-5.5732009042884512</v>
      </c>
      <c r="W68" s="7">
        <f t="shared" si="76"/>
        <v>3.4879834321735643</v>
      </c>
      <c r="X68" s="7">
        <f t="shared" si="77"/>
        <v>-14.419910279977152</v>
      </c>
      <c r="Y68" s="7" t="e">
        <f t="shared" si="78"/>
        <v>#VALUE!</v>
      </c>
      <c r="Z68" s="7" t="e">
        <f t="shared" si="79"/>
        <v>#VALUE!</v>
      </c>
      <c r="AA68" s="7" t="e">
        <f t="shared" si="80"/>
        <v>#VALUE!</v>
      </c>
      <c r="AB68" s="7" t="e">
        <f t="shared" si="81"/>
        <v>#VALUE!</v>
      </c>
      <c r="AC68" s="7" t="e">
        <f t="shared" si="82"/>
        <v>#VALUE!</v>
      </c>
      <c r="AD68" s="7" t="e">
        <f t="shared" si="83"/>
        <v>#VALUE!</v>
      </c>
      <c r="AE68" s="7" t="e">
        <f t="shared" si="84"/>
        <v>#VALUE!</v>
      </c>
      <c r="AF68" s="7" t="e">
        <f t="shared" si="85"/>
        <v>#VALUE!</v>
      </c>
      <c r="AG68" s="7" t="e">
        <f t="shared" si="86"/>
        <v>#VALUE!</v>
      </c>
      <c r="AH68" s="7">
        <f t="shared" ref="AH68:AH102" si="104">$C$11</f>
        <v>28.647889756541161</v>
      </c>
      <c r="AJ68">
        <f t="shared" ref="AJ68:AJ102" si="105">Q68</f>
        <v>1300</v>
      </c>
      <c r="AK68" s="7">
        <f t="shared" si="87"/>
        <v>7.2203451423684957</v>
      </c>
      <c r="AL68" s="7">
        <f t="shared" si="88"/>
        <v>5.9534523052562154</v>
      </c>
      <c r="AM68" s="7">
        <f t="shared" si="89"/>
        <v>8.0110101829992217</v>
      </c>
      <c r="AN68" s="7">
        <f t="shared" si="90"/>
        <v>10.023675708827128</v>
      </c>
      <c r="AO68" s="7">
        <f t="shared" si="91"/>
        <v>8.3496468260589758</v>
      </c>
      <c r="AP68" s="7">
        <f t="shared" si="92"/>
        <v>27.675302193505438</v>
      </c>
      <c r="AQ68" s="7">
        <f t="shared" si="93"/>
        <v>0</v>
      </c>
      <c r="AR68" s="7" t="e">
        <f t="shared" si="94"/>
        <v>#VALUE!</v>
      </c>
      <c r="AS68" s="7" t="e">
        <f t="shared" si="95"/>
        <v>#VALUE!</v>
      </c>
      <c r="AT68" s="7" t="e">
        <f t="shared" si="96"/>
        <v>#VALUE!</v>
      </c>
      <c r="AU68" s="7" t="e">
        <f t="shared" si="97"/>
        <v>#VALUE!</v>
      </c>
      <c r="AV68" s="7" t="e">
        <f t="shared" si="98"/>
        <v>#VALUE!</v>
      </c>
      <c r="AW68" s="7" t="e">
        <f t="shared" si="99"/>
        <v>#VALUE!</v>
      </c>
      <c r="AX68" s="7" t="e">
        <f t="shared" si="100"/>
        <v>#VALUE!</v>
      </c>
      <c r="AY68" s="7" t="e">
        <f t="shared" si="101"/>
        <v>#VALUE!</v>
      </c>
      <c r="AZ68" s="7" t="e">
        <f t="shared" si="102"/>
        <v>#VALUE!</v>
      </c>
      <c r="BA68" s="7"/>
    </row>
    <row r="69" spans="16:53" x14ac:dyDescent="0.25">
      <c r="P69">
        <f t="shared" ref="P69:P102" si="106">P68+0.5</f>
        <v>33</v>
      </c>
      <c r="Q69">
        <f t="shared" si="103"/>
        <v>1320</v>
      </c>
      <c r="R69" s="7">
        <f t="shared" si="71"/>
        <v>-8.5476930911811699</v>
      </c>
      <c r="S69" s="7">
        <f t="shared" si="72"/>
        <v>-8.8409829720192246</v>
      </c>
      <c r="T69" s="7">
        <f t="shared" si="73"/>
        <v>-8.5818975460938773</v>
      </c>
      <c r="U69" s="7">
        <f t="shared" si="74"/>
        <v>-5.3636327037355951</v>
      </c>
      <c r="V69" s="7">
        <f t="shared" si="75"/>
        <v>-5.7745428649886943</v>
      </c>
      <c r="W69" s="7">
        <f t="shared" si="76"/>
        <v>2.9351214845206268</v>
      </c>
      <c r="X69" s="7">
        <f t="shared" si="77"/>
        <v>-14.419910279977152</v>
      </c>
      <c r="Y69" s="7" t="e">
        <f t="shared" si="78"/>
        <v>#VALUE!</v>
      </c>
      <c r="Z69" s="7" t="e">
        <f t="shared" si="79"/>
        <v>#VALUE!</v>
      </c>
      <c r="AA69" s="7" t="e">
        <f t="shared" si="80"/>
        <v>#VALUE!</v>
      </c>
      <c r="AB69" s="7" t="e">
        <f t="shared" si="81"/>
        <v>#VALUE!</v>
      </c>
      <c r="AC69" s="7" t="e">
        <f t="shared" si="82"/>
        <v>#VALUE!</v>
      </c>
      <c r="AD69" s="7" t="e">
        <f t="shared" si="83"/>
        <v>#VALUE!</v>
      </c>
      <c r="AE69" s="7" t="e">
        <f t="shared" si="84"/>
        <v>#VALUE!</v>
      </c>
      <c r="AF69" s="7" t="e">
        <f t="shared" si="85"/>
        <v>#VALUE!</v>
      </c>
      <c r="AG69" s="7" t="e">
        <f t="shared" si="86"/>
        <v>#VALUE!</v>
      </c>
      <c r="AH69" s="7">
        <f t="shared" si="104"/>
        <v>28.647889756541161</v>
      </c>
      <c r="AJ69">
        <f t="shared" si="105"/>
        <v>1320</v>
      </c>
      <c r="AK69" s="7">
        <f t="shared" si="87"/>
        <v>6.3428434674621998</v>
      </c>
      <c r="AL69" s="7">
        <f t="shared" si="88"/>
        <v>5.74641043957714</v>
      </c>
      <c r="AM69" s="7">
        <f t="shared" si="89"/>
        <v>7.1663353618790637</v>
      </c>
      <c r="AN69" s="7">
        <f t="shared" si="90"/>
        <v>9.847391315672203</v>
      </c>
      <c r="AO69" s="7">
        <f t="shared" si="91"/>
        <v>8.0493942388223108</v>
      </c>
      <c r="AP69" s="7">
        <f t="shared" si="92"/>
        <v>26.864335076011805</v>
      </c>
      <c r="AQ69" s="7">
        <f t="shared" si="93"/>
        <v>0</v>
      </c>
      <c r="AR69" s="7" t="e">
        <f t="shared" si="94"/>
        <v>#VALUE!</v>
      </c>
      <c r="AS69" s="7" t="e">
        <f t="shared" si="95"/>
        <v>#VALUE!</v>
      </c>
      <c r="AT69" s="7" t="e">
        <f t="shared" si="96"/>
        <v>#VALUE!</v>
      </c>
      <c r="AU69" s="7" t="e">
        <f t="shared" si="97"/>
        <v>#VALUE!</v>
      </c>
      <c r="AV69" s="7" t="e">
        <f t="shared" si="98"/>
        <v>#VALUE!</v>
      </c>
      <c r="AW69" s="7" t="e">
        <f t="shared" si="99"/>
        <v>#VALUE!</v>
      </c>
      <c r="AX69" s="7" t="e">
        <f t="shared" si="100"/>
        <v>#VALUE!</v>
      </c>
      <c r="AY69" s="7" t="e">
        <f t="shared" si="101"/>
        <v>#VALUE!</v>
      </c>
      <c r="AZ69" s="7" t="e">
        <f t="shared" si="102"/>
        <v>#VALUE!</v>
      </c>
      <c r="BA69" s="7"/>
    </row>
    <row r="70" spans="16:53" x14ac:dyDescent="0.25">
      <c r="P70">
        <f t="shared" si="106"/>
        <v>33.5</v>
      </c>
      <c r="Q70">
        <f t="shared" si="103"/>
        <v>1340</v>
      </c>
      <c r="R70" s="7">
        <f t="shared" si="71"/>
        <v>-9.0059099168729979</v>
      </c>
      <c r="S70" s="7">
        <f t="shared" si="72"/>
        <v>-8.9784071030712234</v>
      </c>
      <c r="T70" s="7">
        <f t="shared" si="73"/>
        <v>-9.0290360496196609</v>
      </c>
      <c r="U70" s="7">
        <f t="shared" si="74"/>
        <v>-5.5122638777164559</v>
      </c>
      <c r="V70" s="7">
        <f t="shared" si="75"/>
        <v>-5.9700383039369793</v>
      </c>
      <c r="W70" s="7">
        <f t="shared" si="76"/>
        <v>2.3977412905699467</v>
      </c>
      <c r="X70" s="7">
        <f t="shared" si="77"/>
        <v>-14.419910279977152</v>
      </c>
      <c r="Y70" s="7" t="e">
        <f t="shared" si="78"/>
        <v>#VALUE!</v>
      </c>
      <c r="Z70" s="7" t="e">
        <f t="shared" si="79"/>
        <v>#VALUE!</v>
      </c>
      <c r="AA70" s="7" t="e">
        <f t="shared" si="80"/>
        <v>#VALUE!</v>
      </c>
      <c r="AB70" s="7" t="e">
        <f t="shared" si="81"/>
        <v>#VALUE!</v>
      </c>
      <c r="AC70" s="7" t="e">
        <f t="shared" si="82"/>
        <v>#VALUE!</v>
      </c>
      <c r="AD70" s="7" t="e">
        <f t="shared" si="83"/>
        <v>#VALUE!</v>
      </c>
      <c r="AE70" s="7" t="e">
        <f t="shared" si="84"/>
        <v>#VALUE!</v>
      </c>
      <c r="AF70" s="7" t="e">
        <f t="shared" si="85"/>
        <v>#VALUE!</v>
      </c>
      <c r="AG70" s="7" t="e">
        <f t="shared" si="86"/>
        <v>#VALUE!</v>
      </c>
      <c r="AH70" s="7">
        <f t="shared" si="104"/>
        <v>28.647889756541161</v>
      </c>
      <c r="AJ70">
        <f t="shared" si="105"/>
        <v>1340</v>
      </c>
      <c r="AK70" s="7">
        <f t="shared" si="87"/>
        <v>5.4657385075367344</v>
      </c>
      <c r="AL70" s="7">
        <f t="shared" si="88"/>
        <v>5.5395566168202723</v>
      </c>
      <c r="AM70" s="7">
        <f t="shared" si="89"/>
        <v>6.3221736714953298</v>
      </c>
      <c r="AN70" s="7">
        <f t="shared" si="90"/>
        <v>9.6715588743150835</v>
      </c>
      <c r="AO70" s="7">
        <f t="shared" si="91"/>
        <v>7.749554032924129</v>
      </c>
      <c r="AP70" s="7">
        <f t="shared" si="92"/>
        <v>26.056502828098917</v>
      </c>
      <c r="AQ70" s="7">
        <f t="shared" si="93"/>
        <v>0</v>
      </c>
      <c r="AR70" s="7" t="e">
        <f t="shared" si="94"/>
        <v>#VALUE!</v>
      </c>
      <c r="AS70" s="7" t="e">
        <f t="shared" si="95"/>
        <v>#VALUE!</v>
      </c>
      <c r="AT70" s="7" t="e">
        <f t="shared" si="96"/>
        <v>#VALUE!</v>
      </c>
      <c r="AU70" s="7" t="e">
        <f t="shared" si="97"/>
        <v>#VALUE!</v>
      </c>
      <c r="AV70" s="7" t="e">
        <f t="shared" si="98"/>
        <v>#VALUE!</v>
      </c>
      <c r="AW70" s="7" t="e">
        <f t="shared" si="99"/>
        <v>#VALUE!</v>
      </c>
      <c r="AX70" s="7" t="e">
        <f t="shared" si="100"/>
        <v>#VALUE!</v>
      </c>
      <c r="AY70" s="7" t="e">
        <f t="shared" si="101"/>
        <v>#VALUE!</v>
      </c>
      <c r="AZ70" s="7" t="e">
        <f t="shared" si="102"/>
        <v>#VALUE!</v>
      </c>
      <c r="BA70" s="7"/>
    </row>
    <row r="71" spans="16:53" x14ac:dyDescent="0.25">
      <c r="P71">
        <f t="shared" si="106"/>
        <v>34</v>
      </c>
      <c r="Q71">
        <f t="shared" si="103"/>
        <v>1360</v>
      </c>
      <c r="R71" s="7">
        <f t="shared" si="71"/>
        <v>-9.4512139484514073</v>
      </c>
      <c r="S71" s="7">
        <f t="shared" si="72"/>
        <v>-9.1118567911371269</v>
      </c>
      <c r="T71" s="7">
        <f t="shared" si="73"/>
        <v>-9.4636488590949774</v>
      </c>
      <c r="U71" s="7">
        <f t="shared" si="74"/>
        <v>-5.6566024880879011</v>
      </c>
      <c r="V71" s="7">
        <f t="shared" si="75"/>
        <v>-6.1599382316797833</v>
      </c>
      <c r="W71" s="7">
        <f t="shared" si="76"/>
        <v>1.8752015281040215</v>
      </c>
      <c r="X71" s="7">
        <f t="shared" si="77"/>
        <v>-14.419910279977152</v>
      </c>
      <c r="Y71" s="7" t="e">
        <f t="shared" si="78"/>
        <v>#VALUE!</v>
      </c>
      <c r="Z71" s="7" t="e">
        <f t="shared" si="79"/>
        <v>#VALUE!</v>
      </c>
      <c r="AA71" s="7" t="e">
        <f t="shared" si="80"/>
        <v>#VALUE!</v>
      </c>
      <c r="AB71" s="7" t="e">
        <f t="shared" si="81"/>
        <v>#VALUE!</v>
      </c>
      <c r="AC71" s="7" t="e">
        <f t="shared" si="82"/>
        <v>#VALUE!</v>
      </c>
      <c r="AD71" s="7" t="e">
        <f t="shared" si="83"/>
        <v>#VALUE!</v>
      </c>
      <c r="AE71" s="7" t="e">
        <f t="shared" si="84"/>
        <v>#VALUE!</v>
      </c>
      <c r="AF71" s="7" t="e">
        <f t="shared" si="85"/>
        <v>#VALUE!</v>
      </c>
      <c r="AG71" s="7" t="e">
        <f t="shared" si="86"/>
        <v>#VALUE!</v>
      </c>
      <c r="AH71" s="7">
        <f t="shared" si="104"/>
        <v>28.647889756541161</v>
      </c>
      <c r="AJ71">
        <f t="shared" si="105"/>
        <v>1360</v>
      </c>
      <c r="AK71" s="7">
        <f t="shared" si="87"/>
        <v>4.58895637482214</v>
      </c>
      <c r="AL71" s="7">
        <f t="shared" si="88"/>
        <v>5.3328736955728022</v>
      </c>
      <c r="AM71" s="7">
        <f t="shared" si="89"/>
        <v>5.4784396113561096</v>
      </c>
      <c r="AN71" s="7">
        <f t="shared" si="90"/>
        <v>9.4961450541894958</v>
      </c>
      <c r="AO71" s="7">
        <f t="shared" si="91"/>
        <v>7.4500884053398124</v>
      </c>
      <c r="AP71" s="7">
        <f t="shared" si="92"/>
        <v>25.251546903055651</v>
      </c>
      <c r="AQ71" s="7">
        <f t="shared" si="93"/>
        <v>0</v>
      </c>
      <c r="AR71" s="7" t="e">
        <f t="shared" si="94"/>
        <v>#VALUE!</v>
      </c>
      <c r="AS71" s="7" t="e">
        <f t="shared" si="95"/>
        <v>#VALUE!</v>
      </c>
      <c r="AT71" s="7" t="e">
        <f t="shared" si="96"/>
        <v>#VALUE!</v>
      </c>
      <c r="AU71" s="7" t="e">
        <f t="shared" si="97"/>
        <v>#VALUE!</v>
      </c>
      <c r="AV71" s="7" t="e">
        <f t="shared" si="98"/>
        <v>#VALUE!</v>
      </c>
      <c r="AW71" s="7" t="e">
        <f t="shared" si="99"/>
        <v>#VALUE!</v>
      </c>
      <c r="AX71" s="7" t="e">
        <f t="shared" si="100"/>
        <v>#VALUE!</v>
      </c>
      <c r="AY71" s="7" t="e">
        <f t="shared" si="101"/>
        <v>#VALUE!</v>
      </c>
      <c r="AZ71" s="7" t="e">
        <f t="shared" si="102"/>
        <v>#VALUE!</v>
      </c>
      <c r="BA71" s="7"/>
    </row>
    <row r="72" spans="16:53" x14ac:dyDescent="0.25">
      <c r="P72">
        <f t="shared" si="106"/>
        <v>34.5</v>
      </c>
      <c r="Q72">
        <f t="shared" si="103"/>
        <v>1380</v>
      </c>
      <c r="R72" s="7">
        <f t="shared" si="71"/>
        <v>-9.8841434359499267</v>
      </c>
      <c r="S72" s="7">
        <f t="shared" si="72"/>
        <v>-9.2415019958015954</v>
      </c>
      <c r="T72" s="7">
        <f t="shared" si="73"/>
        <v>-9.8862550279299803</v>
      </c>
      <c r="U72" s="7">
        <f t="shared" si="74"/>
        <v>-5.7968318457657926</v>
      </c>
      <c r="V72" s="7">
        <f t="shared" si="75"/>
        <v>-6.3444794925454389</v>
      </c>
      <c r="W72" s="7">
        <f t="shared" si="76"/>
        <v>1.3668958143006282</v>
      </c>
      <c r="X72" s="7">
        <f t="shared" si="77"/>
        <v>-14.419910279977152</v>
      </c>
      <c r="Y72" s="7" t="e">
        <f t="shared" si="78"/>
        <v>#VALUE!</v>
      </c>
      <c r="Z72" s="7" t="e">
        <f t="shared" si="79"/>
        <v>#VALUE!</v>
      </c>
      <c r="AA72" s="7" t="e">
        <f t="shared" si="80"/>
        <v>#VALUE!</v>
      </c>
      <c r="AB72" s="7" t="e">
        <f t="shared" si="81"/>
        <v>#VALUE!</v>
      </c>
      <c r="AC72" s="7" t="e">
        <f t="shared" si="82"/>
        <v>#VALUE!</v>
      </c>
      <c r="AD72" s="7" t="e">
        <f t="shared" si="83"/>
        <v>#VALUE!</v>
      </c>
      <c r="AE72" s="7" t="e">
        <f t="shared" si="84"/>
        <v>#VALUE!</v>
      </c>
      <c r="AF72" s="7" t="e">
        <f t="shared" si="85"/>
        <v>#VALUE!</v>
      </c>
      <c r="AG72" s="7" t="e">
        <f t="shared" si="86"/>
        <v>#VALUE!</v>
      </c>
      <c r="AH72" s="7">
        <f t="shared" si="104"/>
        <v>28.647889756541161</v>
      </c>
      <c r="AJ72">
        <f t="shared" si="105"/>
        <v>1380</v>
      </c>
      <c r="AK72" s="7">
        <f t="shared" si="87"/>
        <v>3.7124304184904142</v>
      </c>
      <c r="AL72" s="7">
        <f t="shared" si="88"/>
        <v>5.1263460167161607</v>
      </c>
      <c r="AM72" s="7">
        <f t="shared" si="89"/>
        <v>4.6350558890201832</v>
      </c>
      <c r="AN72" s="7">
        <f t="shared" si="90"/>
        <v>9.3211191943966405</v>
      </c>
      <c r="AO72" s="7">
        <f t="shared" si="91"/>
        <v>7.1509628047936316</v>
      </c>
      <c r="AP72" s="7">
        <f t="shared" si="92"/>
        <v>24.449229755252802</v>
      </c>
      <c r="AQ72" s="7">
        <f t="shared" si="93"/>
        <v>0</v>
      </c>
      <c r="AR72" s="7" t="e">
        <f t="shared" si="94"/>
        <v>#VALUE!</v>
      </c>
      <c r="AS72" s="7" t="e">
        <f t="shared" si="95"/>
        <v>#VALUE!</v>
      </c>
      <c r="AT72" s="7" t="e">
        <f t="shared" si="96"/>
        <v>#VALUE!</v>
      </c>
      <c r="AU72" s="7" t="e">
        <f t="shared" si="97"/>
        <v>#VALUE!</v>
      </c>
      <c r="AV72" s="7" t="e">
        <f t="shared" si="98"/>
        <v>#VALUE!</v>
      </c>
      <c r="AW72" s="7" t="e">
        <f t="shared" si="99"/>
        <v>#VALUE!</v>
      </c>
      <c r="AX72" s="7" t="e">
        <f t="shared" si="100"/>
        <v>#VALUE!</v>
      </c>
      <c r="AY72" s="7" t="e">
        <f t="shared" si="101"/>
        <v>#VALUE!</v>
      </c>
      <c r="AZ72" s="7" t="e">
        <f t="shared" si="102"/>
        <v>#VALUE!</v>
      </c>
      <c r="BA72" s="7"/>
    </row>
    <row r="73" spans="16:53" x14ac:dyDescent="0.25">
      <c r="P73">
        <f t="shared" si="106"/>
        <v>35</v>
      </c>
      <c r="Q73">
        <f t="shared" si="103"/>
        <v>1400</v>
      </c>
      <c r="R73" s="7">
        <f t="shared" si="71"/>
        <v>-10.305207124520313</v>
      </c>
      <c r="S73" s="7">
        <f t="shared" si="72"/>
        <v>-9.367503122172737</v>
      </c>
      <c r="T73" s="7">
        <f t="shared" si="73"/>
        <v>-10.297345321474772</v>
      </c>
      <c r="U73" s="7">
        <f t="shared" si="74"/>
        <v>-5.9331249706048528</v>
      </c>
      <c r="V73" s="7">
        <f t="shared" si="75"/>
        <v>-6.5238857501090681</v>
      </c>
      <c r="W73" s="7">
        <f t="shared" si="76"/>
        <v>0.87225035832093134</v>
      </c>
      <c r="X73" s="7">
        <f t="shared" si="77"/>
        <v>-14.419910279977152</v>
      </c>
      <c r="Y73" s="7" t="e">
        <f t="shared" si="78"/>
        <v>#VALUE!</v>
      </c>
      <c r="Z73" s="7" t="e">
        <f t="shared" si="79"/>
        <v>#VALUE!</v>
      </c>
      <c r="AA73" s="7" t="e">
        <f t="shared" si="80"/>
        <v>#VALUE!</v>
      </c>
      <c r="AB73" s="7" t="e">
        <f t="shared" si="81"/>
        <v>#VALUE!</v>
      </c>
      <c r="AC73" s="7" t="e">
        <f t="shared" si="82"/>
        <v>#VALUE!</v>
      </c>
      <c r="AD73" s="7" t="e">
        <f t="shared" si="83"/>
        <v>#VALUE!</v>
      </c>
      <c r="AE73" s="7" t="e">
        <f t="shared" si="84"/>
        <v>#VALUE!</v>
      </c>
      <c r="AF73" s="7" t="e">
        <f t="shared" si="85"/>
        <v>#VALUE!</v>
      </c>
      <c r="AG73" s="7" t="e">
        <f t="shared" si="86"/>
        <v>#VALUE!</v>
      </c>
      <c r="AH73" s="7">
        <f t="shared" si="104"/>
        <v>28.647889756541161</v>
      </c>
      <c r="AJ73">
        <f t="shared" si="105"/>
        <v>1400</v>
      </c>
      <c r="AK73" s="7">
        <f t="shared" si="87"/>
        <v>2.8361005172199523</v>
      </c>
      <c r="AL73" s="7">
        <f t="shared" si="88"/>
        <v>4.9199592642817631</v>
      </c>
      <c r="AM73" s="7">
        <f t="shared" si="89"/>
        <v>3.791952626821979</v>
      </c>
      <c r="AN73" s="7">
        <f t="shared" si="90"/>
        <v>9.1464530629567928</v>
      </c>
      <c r="AO73" s="7">
        <f t="shared" si="91"/>
        <v>6.8521456288432132</v>
      </c>
      <c r="AP73" s="7">
        <f t="shared" si="92"/>
        <v>23.649332970810899</v>
      </c>
      <c r="AQ73" s="7">
        <f t="shared" si="93"/>
        <v>0</v>
      </c>
      <c r="AR73" s="7" t="e">
        <f t="shared" si="94"/>
        <v>#VALUE!</v>
      </c>
      <c r="AS73" s="7" t="e">
        <f t="shared" si="95"/>
        <v>#VALUE!</v>
      </c>
      <c r="AT73" s="7" t="e">
        <f t="shared" si="96"/>
        <v>#VALUE!</v>
      </c>
      <c r="AU73" s="7" t="e">
        <f t="shared" si="97"/>
        <v>#VALUE!</v>
      </c>
      <c r="AV73" s="7" t="e">
        <f t="shared" si="98"/>
        <v>#VALUE!</v>
      </c>
      <c r="AW73" s="7" t="e">
        <f t="shared" si="99"/>
        <v>#VALUE!</v>
      </c>
      <c r="AX73" s="7" t="e">
        <f t="shared" si="100"/>
        <v>#VALUE!</v>
      </c>
      <c r="AY73" s="7" t="e">
        <f t="shared" si="101"/>
        <v>#VALUE!</v>
      </c>
      <c r="AZ73" s="7" t="e">
        <f t="shared" si="102"/>
        <v>#VALUE!</v>
      </c>
      <c r="BA73" s="7"/>
    </row>
    <row r="74" spans="16:53" x14ac:dyDescent="0.25">
      <c r="P74">
        <f t="shared" si="106"/>
        <v>35.5</v>
      </c>
      <c r="Q74">
        <f t="shared" si="103"/>
        <v>1420</v>
      </c>
      <c r="R74" s="7">
        <f t="shared" si="71"/>
        <v>-10.714886248787771</v>
      </c>
      <c r="S74" s="7">
        <f t="shared" si="72"/>
        <v>-9.4900116829721579</v>
      </c>
      <c r="T74" s="7">
        <f t="shared" si="73"/>
        <v>-10.697384118216105</v>
      </c>
      <c r="U74" s="7">
        <f t="shared" si="74"/>
        <v>-6.0656453035775026</v>
      </c>
      <c r="V74" s="7">
        <f t="shared" si="75"/>
        <v>-6.6983683915223811</v>
      </c>
      <c r="W74" s="7">
        <f t="shared" si="76"/>
        <v>0.39072180064205675</v>
      </c>
      <c r="X74" s="7">
        <f t="shared" si="77"/>
        <v>-14.419910279977152</v>
      </c>
      <c r="Y74" s="7" t="e">
        <f t="shared" si="78"/>
        <v>#VALUE!</v>
      </c>
      <c r="Z74" s="7" t="e">
        <f t="shared" si="79"/>
        <v>#VALUE!</v>
      </c>
      <c r="AA74" s="7" t="e">
        <f t="shared" si="80"/>
        <v>#VALUE!</v>
      </c>
      <c r="AB74" s="7" t="e">
        <f t="shared" si="81"/>
        <v>#VALUE!</v>
      </c>
      <c r="AC74" s="7" t="e">
        <f t="shared" si="82"/>
        <v>#VALUE!</v>
      </c>
      <c r="AD74" s="7" t="e">
        <f t="shared" si="83"/>
        <v>#VALUE!</v>
      </c>
      <c r="AE74" s="7" t="e">
        <f t="shared" si="84"/>
        <v>#VALUE!</v>
      </c>
      <c r="AF74" s="7" t="e">
        <f t="shared" si="85"/>
        <v>#VALUE!</v>
      </c>
      <c r="AG74" s="7" t="e">
        <f t="shared" si="86"/>
        <v>#VALUE!</v>
      </c>
      <c r="AH74" s="7">
        <f t="shared" si="104"/>
        <v>28.647889756541161</v>
      </c>
      <c r="AJ74">
        <f t="shared" si="105"/>
        <v>1420</v>
      </c>
      <c r="AK74" s="7">
        <f t="shared" si="87"/>
        <v>1.9599124460701867</v>
      </c>
      <c r="AL74" s="7">
        <f t="shared" si="88"/>
        <v>4.7137003407460778</v>
      </c>
      <c r="AM74" s="7">
        <f t="shared" si="89"/>
        <v>2.9490666512013703</v>
      </c>
      <c r="AN74" s="7">
        <f t="shared" si="90"/>
        <v>8.972120640427276</v>
      </c>
      <c r="AO74" s="7">
        <f t="shared" si="91"/>
        <v>6.553607952132583</v>
      </c>
      <c r="AP74" s="7">
        <f t="shared" si="92"/>
        <v>22.851655582960969</v>
      </c>
      <c r="AQ74" s="7">
        <f t="shared" si="93"/>
        <v>0</v>
      </c>
      <c r="AR74" s="7" t="e">
        <f t="shared" si="94"/>
        <v>#VALUE!</v>
      </c>
      <c r="AS74" s="7" t="e">
        <f t="shared" si="95"/>
        <v>#VALUE!</v>
      </c>
      <c r="AT74" s="7" t="e">
        <f t="shared" si="96"/>
        <v>#VALUE!</v>
      </c>
      <c r="AU74" s="7" t="e">
        <f t="shared" si="97"/>
        <v>#VALUE!</v>
      </c>
      <c r="AV74" s="7" t="e">
        <f t="shared" si="98"/>
        <v>#VALUE!</v>
      </c>
      <c r="AW74" s="7" t="e">
        <f t="shared" si="99"/>
        <v>#VALUE!</v>
      </c>
      <c r="AX74" s="7" t="e">
        <f t="shared" si="100"/>
        <v>#VALUE!</v>
      </c>
      <c r="AY74" s="7" t="e">
        <f t="shared" si="101"/>
        <v>#VALUE!</v>
      </c>
      <c r="AZ74" s="7" t="e">
        <f t="shared" si="102"/>
        <v>#VALUE!</v>
      </c>
      <c r="BA74" s="7"/>
    </row>
    <row r="75" spans="16:53" x14ac:dyDescent="0.25">
      <c r="P75">
        <f t="shared" si="106"/>
        <v>36</v>
      </c>
      <c r="Q75">
        <f t="shared" si="103"/>
        <v>1440</v>
      </c>
      <c r="R75" s="7">
        <f t="shared" si="71"/>
        <v>-11.113636367595966</v>
      </c>
      <c r="S75" s="7">
        <f t="shared" si="72"/>
        <v>-9.6091709063211201</v>
      </c>
      <c r="T75" s="7">
        <f t="shared" si="73"/>
        <v>-11.086811159676037</v>
      </c>
      <c r="U75" s="7">
        <f t="shared" si="74"/>
        <v>-6.1945473606176611</v>
      </c>
      <c r="V75" s="7">
        <f t="shared" si="75"/>
        <v>-6.8681273583961548</v>
      </c>
      <c r="W75" s="7">
        <f t="shared" si="76"/>
        <v>-7.820477797129044E-2</v>
      </c>
      <c r="X75" s="7">
        <f t="shared" si="77"/>
        <v>-14.419910279977152</v>
      </c>
      <c r="Y75" s="7" t="e">
        <f t="shared" si="78"/>
        <v>#VALUE!</v>
      </c>
      <c r="Z75" s="7" t="e">
        <f t="shared" si="79"/>
        <v>#VALUE!</v>
      </c>
      <c r="AA75" s="7" t="e">
        <f t="shared" si="80"/>
        <v>#VALUE!</v>
      </c>
      <c r="AB75" s="7" t="e">
        <f t="shared" si="81"/>
        <v>#VALUE!</v>
      </c>
      <c r="AC75" s="7" t="e">
        <f t="shared" si="82"/>
        <v>#VALUE!</v>
      </c>
      <c r="AD75" s="7" t="e">
        <f t="shared" si="83"/>
        <v>#VALUE!</v>
      </c>
      <c r="AE75" s="7" t="e">
        <f t="shared" si="84"/>
        <v>#VALUE!</v>
      </c>
      <c r="AF75" s="7" t="e">
        <f t="shared" si="85"/>
        <v>#VALUE!</v>
      </c>
      <c r="AG75" s="7" t="e">
        <f t="shared" si="86"/>
        <v>#VALUE!</v>
      </c>
      <c r="AH75" s="7">
        <f t="shared" si="104"/>
        <v>28.647889756541161</v>
      </c>
      <c r="AJ75">
        <f t="shared" si="105"/>
        <v>1440</v>
      </c>
      <c r="AK75" s="7">
        <f t="shared" si="87"/>
        <v>1.0838173091686305</v>
      </c>
      <c r="AL75" s="7">
        <f t="shared" si="88"/>
        <v>4.5075572551126113</v>
      </c>
      <c r="AM75" s="7">
        <f t="shared" si="89"/>
        <v>2.1063408552624074</v>
      </c>
      <c r="AN75" s="7">
        <f t="shared" si="90"/>
        <v>8.7980979251460649</v>
      </c>
      <c r="AO75" s="7">
        <f t="shared" si="91"/>
        <v>6.2553232822781997</v>
      </c>
      <c r="AP75" s="7">
        <f t="shared" si="92"/>
        <v>22.056012551928049</v>
      </c>
      <c r="AQ75" s="7">
        <f t="shared" si="93"/>
        <v>0</v>
      </c>
      <c r="AR75" s="7" t="e">
        <f t="shared" si="94"/>
        <v>#VALUE!</v>
      </c>
      <c r="AS75" s="7" t="e">
        <f t="shared" si="95"/>
        <v>#VALUE!</v>
      </c>
      <c r="AT75" s="7" t="e">
        <f t="shared" si="96"/>
        <v>#VALUE!</v>
      </c>
      <c r="AU75" s="7" t="e">
        <f t="shared" si="97"/>
        <v>#VALUE!</v>
      </c>
      <c r="AV75" s="7" t="e">
        <f t="shared" si="98"/>
        <v>#VALUE!</v>
      </c>
      <c r="AW75" s="7" t="e">
        <f t="shared" si="99"/>
        <v>#VALUE!</v>
      </c>
      <c r="AX75" s="7" t="e">
        <f t="shared" si="100"/>
        <v>#VALUE!</v>
      </c>
      <c r="AY75" s="7" t="e">
        <f t="shared" si="101"/>
        <v>#VALUE!</v>
      </c>
      <c r="AZ75" s="7" t="e">
        <f t="shared" si="102"/>
        <v>#VALUE!</v>
      </c>
      <c r="BA75" s="7"/>
    </row>
    <row r="76" spans="16:53" x14ac:dyDescent="0.25">
      <c r="P76">
        <f t="shared" si="106"/>
        <v>36.5</v>
      </c>
      <c r="Q76">
        <f t="shared" si="103"/>
        <v>1460</v>
      </c>
      <c r="R76" s="7">
        <f t="shared" si="71"/>
        <v>-11.50188905384845</v>
      </c>
      <c r="S76" s="7">
        <f t="shared" si="72"/>
        <v>-9.7251162943490161</v>
      </c>
      <c r="T76" s="7">
        <f t="shared" si="73"/>
        <v>-11.466043162875659</v>
      </c>
      <c r="U76" s="7">
        <f t="shared" si="74"/>
        <v>-6.3199773336290717</v>
      </c>
      <c r="V76" s="7">
        <f t="shared" si="75"/>
        <v>-7.0333519111018905</v>
      </c>
      <c r="W76" s="7">
        <f t="shared" si="76"/>
        <v>-0.53501769319393588</v>
      </c>
      <c r="X76" s="7">
        <f t="shared" si="77"/>
        <v>-14.419910279977152</v>
      </c>
      <c r="Y76" s="7" t="e">
        <f t="shared" si="78"/>
        <v>#VALUE!</v>
      </c>
      <c r="Z76" s="7" t="e">
        <f t="shared" si="79"/>
        <v>#VALUE!</v>
      </c>
      <c r="AA76" s="7" t="e">
        <f t="shared" si="80"/>
        <v>#VALUE!</v>
      </c>
      <c r="AB76" s="7" t="e">
        <f t="shared" si="81"/>
        <v>#VALUE!</v>
      </c>
      <c r="AC76" s="7" t="e">
        <f t="shared" si="82"/>
        <v>#VALUE!</v>
      </c>
      <c r="AD76" s="7" t="e">
        <f t="shared" si="83"/>
        <v>#VALUE!</v>
      </c>
      <c r="AE76" s="7" t="e">
        <f t="shared" si="84"/>
        <v>#VALUE!</v>
      </c>
      <c r="AF76" s="7" t="e">
        <f t="shared" si="85"/>
        <v>#VALUE!</v>
      </c>
      <c r="AG76" s="7" t="e">
        <f t="shared" si="86"/>
        <v>#VALUE!</v>
      </c>
      <c r="AH76" s="7">
        <f t="shared" si="104"/>
        <v>28.647889756541161</v>
      </c>
      <c r="AJ76">
        <f t="shared" si="105"/>
        <v>1460</v>
      </c>
      <c r="AK76" s="7">
        <f t="shared" si="87"/>
        <v>0.20777103076946121</v>
      </c>
      <c r="AL76" s="7">
        <f t="shared" si="88"/>
        <v>4.3015190223354844</v>
      </c>
      <c r="AM76" s="7">
        <f t="shared" si="89"/>
        <v>1.2637236263435483</v>
      </c>
      <c r="AN76" s="7">
        <f t="shared" si="90"/>
        <v>8.624362757699366</v>
      </c>
      <c r="AO76" s="7">
        <f t="shared" si="91"/>
        <v>5.957267340291561</v>
      </c>
      <c r="AP76" s="7">
        <f t="shared" si="92"/>
        <v>21.262233391583429</v>
      </c>
      <c r="AQ76" s="7">
        <f t="shared" si="93"/>
        <v>0</v>
      </c>
      <c r="AR76" s="7" t="e">
        <f t="shared" si="94"/>
        <v>#VALUE!</v>
      </c>
      <c r="AS76" s="7" t="e">
        <f t="shared" si="95"/>
        <v>#VALUE!</v>
      </c>
      <c r="AT76" s="7" t="e">
        <f t="shared" si="96"/>
        <v>#VALUE!</v>
      </c>
      <c r="AU76" s="7" t="e">
        <f t="shared" si="97"/>
        <v>#VALUE!</v>
      </c>
      <c r="AV76" s="7" t="e">
        <f t="shared" si="98"/>
        <v>#VALUE!</v>
      </c>
      <c r="AW76" s="7" t="e">
        <f t="shared" si="99"/>
        <v>#VALUE!</v>
      </c>
      <c r="AX76" s="7" t="e">
        <f t="shared" si="100"/>
        <v>#VALUE!</v>
      </c>
      <c r="AY76" s="7" t="e">
        <f t="shared" si="101"/>
        <v>#VALUE!</v>
      </c>
      <c r="AZ76" s="7" t="e">
        <f t="shared" si="102"/>
        <v>#VALUE!</v>
      </c>
      <c r="BA76" s="7"/>
    </row>
    <row r="77" spans="16:53" x14ac:dyDescent="0.25">
      <c r="P77">
        <f t="shared" si="106"/>
        <v>37</v>
      </c>
      <c r="Q77">
        <f t="shared" si="103"/>
        <v>1480</v>
      </c>
      <c r="R77" s="7">
        <f t="shared" si="71"/>
        <v>-11.592476891746337</v>
      </c>
      <c r="S77" s="7">
        <f t="shared" si="72"/>
        <v>-9.837976137204695</v>
      </c>
      <c r="T77" s="7">
        <f t="shared" si="73"/>
        <v>-11.835475307794299</v>
      </c>
      <c r="U77" s="7">
        <f t="shared" si="74"/>
        <v>-6.4420736435730426</v>
      </c>
      <c r="V77" s="7">
        <f t="shared" si="75"/>
        <v>-7.1942213326350828</v>
      </c>
      <c r="W77" s="7">
        <f t="shared" si="76"/>
        <v>-0.98018035333939224</v>
      </c>
      <c r="X77" s="7">
        <f t="shared" si="77"/>
        <v>-14.419910279977152</v>
      </c>
      <c r="Y77" s="7" t="e">
        <f t="shared" si="78"/>
        <v>#VALUE!</v>
      </c>
      <c r="Z77" s="7" t="e">
        <f t="shared" si="79"/>
        <v>#VALUE!</v>
      </c>
      <c r="AA77" s="7" t="e">
        <f t="shared" si="80"/>
        <v>#VALUE!</v>
      </c>
      <c r="AB77" s="7" t="e">
        <f t="shared" si="81"/>
        <v>#VALUE!</v>
      </c>
      <c r="AC77" s="7" t="e">
        <f t="shared" si="82"/>
        <v>#VALUE!</v>
      </c>
      <c r="AD77" s="7" t="e">
        <f t="shared" si="83"/>
        <v>#VALUE!</v>
      </c>
      <c r="AE77" s="7" t="e">
        <f t="shared" si="84"/>
        <v>#VALUE!</v>
      </c>
      <c r="AF77" s="7" t="e">
        <f t="shared" si="85"/>
        <v>#VALUE!</v>
      </c>
      <c r="AG77" s="7" t="e">
        <f t="shared" si="86"/>
        <v>#VALUE!</v>
      </c>
      <c r="AH77" s="7">
        <f t="shared" si="104"/>
        <v>28.647889756541161</v>
      </c>
      <c r="AJ77">
        <f t="shared" si="105"/>
        <v>1480</v>
      </c>
      <c r="AK77" s="7">
        <f t="shared" si="87"/>
        <v>0</v>
      </c>
      <c r="AL77" s="7">
        <f t="shared" si="88"/>
        <v>4.0955755728180785</v>
      </c>
      <c r="AM77" s="7">
        <f t="shared" si="89"/>
        <v>0.42116833138474219</v>
      </c>
      <c r="AN77" s="7">
        <f t="shared" si="90"/>
        <v>8.4508946625049184</v>
      </c>
      <c r="AO77" s="7">
        <f t="shared" si="91"/>
        <v>5.6594178628217984</v>
      </c>
      <c r="AP77" s="7">
        <f t="shared" si="92"/>
        <v>20.470160927212305</v>
      </c>
      <c r="AQ77" s="7">
        <f t="shared" si="93"/>
        <v>0</v>
      </c>
      <c r="AR77" s="7" t="e">
        <f t="shared" si="94"/>
        <v>#VALUE!</v>
      </c>
      <c r="AS77" s="7" t="e">
        <f t="shared" si="95"/>
        <v>#VALUE!</v>
      </c>
      <c r="AT77" s="7" t="e">
        <f t="shared" si="96"/>
        <v>#VALUE!</v>
      </c>
      <c r="AU77" s="7" t="e">
        <f t="shared" si="97"/>
        <v>#VALUE!</v>
      </c>
      <c r="AV77" s="7" t="e">
        <f t="shared" si="98"/>
        <v>#VALUE!</v>
      </c>
      <c r="AW77" s="7" t="e">
        <f t="shared" si="99"/>
        <v>#VALUE!</v>
      </c>
      <c r="AX77" s="7" t="e">
        <f t="shared" si="100"/>
        <v>#VALUE!</v>
      </c>
      <c r="AY77" s="7" t="e">
        <f t="shared" si="101"/>
        <v>#VALUE!</v>
      </c>
      <c r="AZ77" s="7" t="e">
        <f t="shared" si="102"/>
        <v>#VALUE!</v>
      </c>
      <c r="BA77" s="7"/>
    </row>
    <row r="78" spans="16:53" x14ac:dyDescent="0.25">
      <c r="P78">
        <f t="shared" si="106"/>
        <v>37.5</v>
      </c>
      <c r="Q78">
        <f t="shared" si="103"/>
        <v>1500</v>
      </c>
      <c r="R78" s="7">
        <f t="shared" si="71"/>
        <v>-11.592476891746337</v>
      </c>
      <c r="S78" s="7">
        <f t="shared" si="72"/>
        <v>-9.9478719865699645</v>
      </c>
      <c r="T78" s="7">
        <f t="shared" si="73"/>
        <v>-12.016591899980959</v>
      </c>
      <c r="U78" s="7">
        <f t="shared" si="74"/>
        <v>-6.5609674500348198</v>
      </c>
      <c r="V78" s="7">
        <f t="shared" si="75"/>
        <v>-7.350905577543414</v>
      </c>
      <c r="W78" s="7">
        <f t="shared" si="76"/>
        <v>-1.4141328274167471</v>
      </c>
      <c r="X78" s="7">
        <f t="shared" si="77"/>
        <v>-14.419910279977152</v>
      </c>
      <c r="Y78" s="7" t="e">
        <f t="shared" si="78"/>
        <v>#VALUE!</v>
      </c>
      <c r="Z78" s="7" t="e">
        <f t="shared" si="79"/>
        <v>#VALUE!</v>
      </c>
      <c r="AA78" s="7" t="e">
        <f t="shared" si="80"/>
        <v>#VALUE!</v>
      </c>
      <c r="AB78" s="7" t="e">
        <f t="shared" si="81"/>
        <v>#VALUE!</v>
      </c>
      <c r="AC78" s="7" t="e">
        <f t="shared" si="82"/>
        <v>#VALUE!</v>
      </c>
      <c r="AD78" s="7" t="e">
        <f t="shared" si="83"/>
        <v>#VALUE!</v>
      </c>
      <c r="AE78" s="7" t="e">
        <f t="shared" si="84"/>
        <v>#VALUE!</v>
      </c>
      <c r="AF78" s="7" t="e">
        <f t="shared" si="85"/>
        <v>#VALUE!</v>
      </c>
      <c r="AG78" s="7" t="e">
        <f t="shared" si="86"/>
        <v>#VALUE!</v>
      </c>
      <c r="AH78" s="7">
        <f t="shared" si="104"/>
        <v>28.647889756541161</v>
      </c>
      <c r="AJ78">
        <f t="shared" si="105"/>
        <v>1500</v>
      </c>
      <c r="AK78" s="7">
        <f t="shared" si="87"/>
        <v>0</v>
      </c>
      <c r="AL78" s="7">
        <f t="shared" si="88"/>
        <v>3.889717670875156</v>
      </c>
      <c r="AM78" s="7">
        <f t="shared" si="89"/>
        <v>0</v>
      </c>
      <c r="AN78" s="7">
        <f t="shared" si="90"/>
        <v>8.2776747046571337</v>
      </c>
      <c r="AO78" s="7">
        <f t="shared" si="91"/>
        <v>5.3617544238309129</v>
      </c>
      <c r="AP78" s="7">
        <f t="shared" si="92"/>
        <v>19.679650170574607</v>
      </c>
      <c r="AQ78" s="7">
        <f t="shared" si="93"/>
        <v>0</v>
      </c>
      <c r="AR78" s="7" t="e">
        <f t="shared" si="94"/>
        <v>#VALUE!</v>
      </c>
      <c r="AS78" s="7" t="e">
        <f t="shared" si="95"/>
        <v>#VALUE!</v>
      </c>
      <c r="AT78" s="7" t="e">
        <f t="shared" si="96"/>
        <v>#VALUE!</v>
      </c>
      <c r="AU78" s="7" t="e">
        <f t="shared" si="97"/>
        <v>#VALUE!</v>
      </c>
      <c r="AV78" s="7" t="e">
        <f t="shared" si="98"/>
        <v>#VALUE!</v>
      </c>
      <c r="AW78" s="7" t="e">
        <f t="shared" si="99"/>
        <v>#VALUE!</v>
      </c>
      <c r="AX78" s="7" t="e">
        <f t="shared" si="100"/>
        <v>#VALUE!</v>
      </c>
      <c r="AY78" s="7" t="e">
        <f t="shared" si="101"/>
        <v>#VALUE!</v>
      </c>
      <c r="AZ78" s="7" t="e">
        <f t="shared" si="102"/>
        <v>#VALUE!</v>
      </c>
      <c r="BA78" s="7"/>
    </row>
    <row r="79" spans="16:53" x14ac:dyDescent="0.25">
      <c r="P79">
        <f t="shared" si="106"/>
        <v>38</v>
      </c>
      <c r="Q79">
        <f t="shared" si="103"/>
        <v>1520</v>
      </c>
      <c r="R79" s="7">
        <f t="shared" si="71"/>
        <v>-11.592476891746337</v>
      </c>
      <c r="S79" s="7">
        <f t="shared" si="72"/>
        <v>-10.054919092349518</v>
      </c>
      <c r="T79" s="7">
        <f t="shared" si="73"/>
        <v>-12.016591899980959</v>
      </c>
      <c r="U79" s="7">
        <f t="shared" si="74"/>
        <v>-6.6767831212122939</v>
      </c>
      <c r="V79" s="7">
        <f t="shared" si="75"/>
        <v>-7.5035658708577788</v>
      </c>
      <c r="W79" s="7">
        <f t="shared" si="76"/>
        <v>-1.8372932961991228</v>
      </c>
      <c r="X79" s="7">
        <f t="shared" si="77"/>
        <v>-14.419910279977152</v>
      </c>
      <c r="Y79" s="7" t="e">
        <f t="shared" si="78"/>
        <v>#VALUE!</v>
      </c>
      <c r="Z79" s="7" t="e">
        <f t="shared" si="79"/>
        <v>#VALUE!</v>
      </c>
      <c r="AA79" s="7" t="e">
        <f t="shared" si="80"/>
        <v>#VALUE!</v>
      </c>
      <c r="AB79" s="7" t="e">
        <f t="shared" si="81"/>
        <v>#VALUE!</v>
      </c>
      <c r="AC79" s="7" t="e">
        <f t="shared" si="82"/>
        <v>#VALUE!</v>
      </c>
      <c r="AD79" s="7" t="e">
        <f t="shared" si="83"/>
        <v>#VALUE!</v>
      </c>
      <c r="AE79" s="7" t="e">
        <f t="shared" si="84"/>
        <v>#VALUE!</v>
      </c>
      <c r="AF79" s="7" t="e">
        <f t="shared" si="85"/>
        <v>#VALUE!</v>
      </c>
      <c r="AG79" s="7" t="e">
        <f t="shared" si="86"/>
        <v>#VALUE!</v>
      </c>
      <c r="AH79" s="7">
        <f t="shared" si="104"/>
        <v>28.647889756541161</v>
      </c>
      <c r="AJ79">
        <f t="shared" si="105"/>
        <v>1520</v>
      </c>
      <c r="AK79" s="7">
        <f t="shared" si="87"/>
        <v>0</v>
      </c>
      <c r="AL79" s="7">
        <f t="shared" si="88"/>
        <v>3.6839368411810565</v>
      </c>
      <c r="AM79" s="7">
        <f t="shared" si="89"/>
        <v>0</v>
      </c>
      <c r="AN79" s="7">
        <f t="shared" si="90"/>
        <v>8.1046853604009694</v>
      </c>
      <c r="AO79" s="7">
        <f t="shared" si="91"/>
        <v>5.0642582736001334</v>
      </c>
      <c r="AP79" s="7">
        <f t="shared" si="92"/>
        <v>18.890567300033926</v>
      </c>
      <c r="AQ79" s="7">
        <f t="shared" si="93"/>
        <v>0</v>
      </c>
      <c r="AR79" s="7" t="e">
        <f t="shared" si="94"/>
        <v>#VALUE!</v>
      </c>
      <c r="AS79" s="7" t="e">
        <f t="shared" si="95"/>
        <v>#VALUE!</v>
      </c>
      <c r="AT79" s="7" t="e">
        <f t="shared" si="96"/>
        <v>#VALUE!</v>
      </c>
      <c r="AU79" s="7" t="e">
        <f t="shared" si="97"/>
        <v>#VALUE!</v>
      </c>
      <c r="AV79" s="7" t="e">
        <f t="shared" si="98"/>
        <v>#VALUE!</v>
      </c>
      <c r="AW79" s="7" t="e">
        <f t="shared" si="99"/>
        <v>#VALUE!</v>
      </c>
      <c r="AX79" s="7" t="e">
        <f t="shared" si="100"/>
        <v>#VALUE!</v>
      </c>
      <c r="AY79" s="7" t="e">
        <f t="shared" si="101"/>
        <v>#VALUE!</v>
      </c>
      <c r="AZ79" s="7" t="e">
        <f t="shared" si="102"/>
        <v>#VALUE!</v>
      </c>
      <c r="BA79" s="7"/>
    </row>
    <row r="80" spans="16:53" x14ac:dyDescent="0.25">
      <c r="P80">
        <f t="shared" si="106"/>
        <v>38.5</v>
      </c>
      <c r="Q80">
        <f t="shared" si="103"/>
        <v>1540</v>
      </c>
      <c r="R80" s="7">
        <f t="shared" si="71"/>
        <v>-11.592476891746337</v>
      </c>
      <c r="S80" s="7">
        <f t="shared" si="72"/>
        <v>-10.159226805835505</v>
      </c>
      <c r="T80" s="7">
        <f t="shared" si="73"/>
        <v>-12.016591899980959</v>
      </c>
      <c r="U80" s="7">
        <f t="shared" si="74"/>
        <v>-6.7896386678674689</v>
      </c>
      <c r="V80" s="7">
        <f t="shared" si="75"/>
        <v>-7.6523552614632608</v>
      </c>
      <c r="W80" s="7">
        <f t="shared" si="76"/>
        <v>-2.2500593963614701</v>
      </c>
      <c r="X80" s="7">
        <f t="shared" si="77"/>
        <v>-14.419910279977152</v>
      </c>
      <c r="Y80" s="7" t="e">
        <f t="shared" si="78"/>
        <v>#VALUE!</v>
      </c>
      <c r="Z80" s="7" t="e">
        <f t="shared" si="79"/>
        <v>#VALUE!</v>
      </c>
      <c r="AA80" s="7" t="e">
        <f t="shared" si="80"/>
        <v>#VALUE!</v>
      </c>
      <c r="AB80" s="7" t="e">
        <f t="shared" si="81"/>
        <v>#VALUE!</v>
      </c>
      <c r="AC80" s="7" t="e">
        <f t="shared" si="82"/>
        <v>#VALUE!</v>
      </c>
      <c r="AD80" s="7" t="e">
        <f t="shared" si="83"/>
        <v>#VALUE!</v>
      </c>
      <c r="AE80" s="7" t="e">
        <f t="shared" si="84"/>
        <v>#VALUE!</v>
      </c>
      <c r="AF80" s="7" t="e">
        <f t="shared" si="85"/>
        <v>#VALUE!</v>
      </c>
      <c r="AG80" s="7" t="e">
        <f t="shared" si="86"/>
        <v>#VALUE!</v>
      </c>
      <c r="AH80" s="7">
        <f t="shared" si="104"/>
        <v>28.647889756541161</v>
      </c>
      <c r="AJ80">
        <f t="shared" si="105"/>
        <v>1540</v>
      </c>
      <c r="AK80" s="7">
        <f t="shared" si="87"/>
        <v>0</v>
      </c>
      <c r="AL80" s="7">
        <f t="shared" si="88"/>
        <v>3.4782253023432013</v>
      </c>
      <c r="AM80" s="7">
        <f t="shared" si="89"/>
        <v>0</v>
      </c>
      <c r="AN80" s="7">
        <f t="shared" si="90"/>
        <v>7.9319103997937139</v>
      </c>
      <c r="AO80" s="7">
        <f t="shared" si="91"/>
        <v>4.7669121932146137</v>
      </c>
      <c r="AP80" s="7">
        <f t="shared" si="92"/>
        <v>18.10278873492658</v>
      </c>
      <c r="AQ80" s="7">
        <f t="shared" si="93"/>
        <v>0</v>
      </c>
      <c r="AR80" s="7" t="e">
        <f t="shared" si="94"/>
        <v>#VALUE!</v>
      </c>
      <c r="AS80" s="7" t="e">
        <f t="shared" si="95"/>
        <v>#VALUE!</v>
      </c>
      <c r="AT80" s="7" t="e">
        <f t="shared" si="96"/>
        <v>#VALUE!</v>
      </c>
      <c r="AU80" s="7" t="e">
        <f t="shared" si="97"/>
        <v>#VALUE!</v>
      </c>
      <c r="AV80" s="7" t="e">
        <f t="shared" si="98"/>
        <v>#VALUE!</v>
      </c>
      <c r="AW80" s="7" t="e">
        <f t="shared" si="99"/>
        <v>#VALUE!</v>
      </c>
      <c r="AX80" s="7" t="e">
        <f t="shared" si="100"/>
        <v>#VALUE!</v>
      </c>
      <c r="AY80" s="7" t="e">
        <f t="shared" si="101"/>
        <v>#VALUE!</v>
      </c>
      <c r="AZ80" s="7" t="e">
        <f t="shared" si="102"/>
        <v>#VALUE!</v>
      </c>
      <c r="BA80" s="7"/>
    </row>
    <row r="81" spans="16:53" x14ac:dyDescent="0.25">
      <c r="P81">
        <f t="shared" si="106"/>
        <v>39</v>
      </c>
      <c r="Q81">
        <f t="shared" si="103"/>
        <v>1560</v>
      </c>
      <c r="R81" s="7">
        <f t="shared" si="71"/>
        <v>-11.592476891746337</v>
      </c>
      <c r="S81" s="7">
        <f t="shared" si="72"/>
        <v>-10.260898952311523</v>
      </c>
      <c r="T81" s="7">
        <f t="shared" si="73"/>
        <v>-12.016591899980959</v>
      </c>
      <c r="U81" s="7">
        <f t="shared" si="74"/>
        <v>-6.8996461444237696</v>
      </c>
      <c r="V81" s="7">
        <f t="shared" si="75"/>
        <v>-7.7974191339027552</v>
      </c>
      <c r="W81" s="7">
        <f t="shared" si="76"/>
        <v>-2.6528094667693249</v>
      </c>
      <c r="X81" s="7">
        <f t="shared" si="77"/>
        <v>-14.419910279977152</v>
      </c>
      <c r="Y81" s="7" t="e">
        <f t="shared" si="78"/>
        <v>#VALUE!</v>
      </c>
      <c r="Z81" s="7" t="e">
        <f t="shared" si="79"/>
        <v>#VALUE!</v>
      </c>
      <c r="AA81" s="7" t="e">
        <f t="shared" si="80"/>
        <v>#VALUE!</v>
      </c>
      <c r="AB81" s="7" t="e">
        <f t="shared" si="81"/>
        <v>#VALUE!</v>
      </c>
      <c r="AC81" s="7" t="e">
        <f t="shared" si="82"/>
        <v>#VALUE!</v>
      </c>
      <c r="AD81" s="7" t="e">
        <f t="shared" si="83"/>
        <v>#VALUE!</v>
      </c>
      <c r="AE81" s="7" t="e">
        <f t="shared" si="84"/>
        <v>#VALUE!</v>
      </c>
      <c r="AF81" s="7" t="e">
        <f t="shared" si="85"/>
        <v>#VALUE!</v>
      </c>
      <c r="AG81" s="7" t="e">
        <f t="shared" si="86"/>
        <v>#VALUE!</v>
      </c>
      <c r="AH81" s="7">
        <f t="shared" si="104"/>
        <v>28.647889756541161</v>
      </c>
      <c r="AJ81">
        <f t="shared" si="105"/>
        <v>1560</v>
      </c>
      <c r="AK81" s="7">
        <f t="shared" si="87"/>
        <v>0</v>
      </c>
      <c r="AL81" s="7">
        <f t="shared" si="88"/>
        <v>3.2725759068416886</v>
      </c>
      <c r="AM81" s="7">
        <f t="shared" si="89"/>
        <v>0</v>
      </c>
      <c r="AN81" s="7">
        <f t="shared" si="90"/>
        <v>7.759334780281427</v>
      </c>
      <c r="AO81" s="7">
        <f t="shared" si="91"/>
        <v>4.4697003628903111</v>
      </c>
      <c r="AP81" s="7">
        <f t="shared" si="92"/>
        <v>17.316200294565775</v>
      </c>
      <c r="AQ81" s="7">
        <f t="shared" si="93"/>
        <v>0</v>
      </c>
      <c r="AR81" s="7" t="e">
        <f t="shared" si="94"/>
        <v>#VALUE!</v>
      </c>
      <c r="AS81" s="7" t="e">
        <f t="shared" si="95"/>
        <v>#VALUE!</v>
      </c>
      <c r="AT81" s="7" t="e">
        <f t="shared" si="96"/>
        <v>#VALUE!</v>
      </c>
      <c r="AU81" s="7" t="e">
        <f t="shared" si="97"/>
        <v>#VALUE!</v>
      </c>
      <c r="AV81" s="7" t="e">
        <f t="shared" si="98"/>
        <v>#VALUE!</v>
      </c>
      <c r="AW81" s="7" t="e">
        <f t="shared" si="99"/>
        <v>#VALUE!</v>
      </c>
      <c r="AX81" s="7" t="e">
        <f t="shared" si="100"/>
        <v>#VALUE!</v>
      </c>
      <c r="AY81" s="7" t="e">
        <f t="shared" si="101"/>
        <v>#VALUE!</v>
      </c>
      <c r="AZ81" s="7" t="e">
        <f t="shared" si="102"/>
        <v>#VALUE!</v>
      </c>
      <c r="BA81" s="7"/>
    </row>
    <row r="82" spans="16:53" x14ac:dyDescent="0.25">
      <c r="P82">
        <f t="shared" si="106"/>
        <v>39.5</v>
      </c>
      <c r="Q82">
        <f t="shared" si="103"/>
        <v>1580</v>
      </c>
      <c r="R82" s="7">
        <f t="shared" si="71"/>
        <v>-11.592476891746337</v>
      </c>
      <c r="S82" s="7">
        <f t="shared" si="72"/>
        <v>-10.360034175764991</v>
      </c>
      <c r="T82" s="7">
        <f t="shared" si="73"/>
        <v>-12.016591899980959</v>
      </c>
      <c r="U82" s="7">
        <f t="shared" si="74"/>
        <v>-7.0069120200749992</v>
      </c>
      <c r="V82" s="7">
        <f t="shared" si="75"/>
        <v>-7.9388956822110019</v>
      </c>
      <c r="W82" s="7">
        <f t="shared" si="76"/>
        <v>-3.0459037051291631</v>
      </c>
      <c r="X82" s="7">
        <f t="shared" si="77"/>
        <v>-14.419910279977152</v>
      </c>
      <c r="Y82" s="7" t="e">
        <f t="shared" si="78"/>
        <v>#VALUE!</v>
      </c>
      <c r="Z82" s="7" t="e">
        <f t="shared" si="79"/>
        <v>#VALUE!</v>
      </c>
      <c r="AA82" s="7" t="e">
        <f t="shared" si="80"/>
        <v>#VALUE!</v>
      </c>
      <c r="AB82" s="7" t="e">
        <f t="shared" si="81"/>
        <v>#VALUE!</v>
      </c>
      <c r="AC82" s="7" t="e">
        <f t="shared" si="82"/>
        <v>#VALUE!</v>
      </c>
      <c r="AD82" s="7" t="e">
        <f t="shared" si="83"/>
        <v>#VALUE!</v>
      </c>
      <c r="AE82" s="7" t="e">
        <f t="shared" si="84"/>
        <v>#VALUE!</v>
      </c>
      <c r="AF82" s="7" t="e">
        <f t="shared" si="85"/>
        <v>#VALUE!</v>
      </c>
      <c r="AG82" s="7" t="e">
        <f t="shared" si="86"/>
        <v>#VALUE!</v>
      </c>
      <c r="AH82" s="7">
        <f t="shared" si="104"/>
        <v>28.647889756541161</v>
      </c>
      <c r="AJ82">
        <f t="shared" si="105"/>
        <v>1580</v>
      </c>
      <c r="AK82" s="7">
        <f t="shared" si="87"/>
        <v>0</v>
      </c>
      <c r="AL82" s="7">
        <f t="shared" si="88"/>
        <v>3.066982086664201</v>
      </c>
      <c r="AM82" s="7">
        <f t="shared" si="89"/>
        <v>0</v>
      </c>
      <c r="AN82" s="7">
        <f t="shared" si="90"/>
        <v>7.5869445500629356</v>
      </c>
      <c r="AO82" s="7">
        <f t="shared" si="91"/>
        <v>4.1726082426960689</v>
      </c>
      <c r="AP82" s="7">
        <f t="shared" si="92"/>
        <v>16.530696433348659</v>
      </c>
      <c r="AQ82" s="7">
        <f t="shared" si="93"/>
        <v>0</v>
      </c>
      <c r="AR82" s="7" t="e">
        <f t="shared" si="94"/>
        <v>#VALUE!</v>
      </c>
      <c r="AS82" s="7" t="e">
        <f t="shared" si="95"/>
        <v>#VALUE!</v>
      </c>
      <c r="AT82" s="7" t="e">
        <f t="shared" si="96"/>
        <v>#VALUE!</v>
      </c>
      <c r="AU82" s="7" t="e">
        <f t="shared" si="97"/>
        <v>#VALUE!</v>
      </c>
      <c r="AV82" s="7" t="e">
        <f t="shared" si="98"/>
        <v>#VALUE!</v>
      </c>
      <c r="AW82" s="7" t="e">
        <f t="shared" si="99"/>
        <v>#VALUE!</v>
      </c>
      <c r="AX82" s="7" t="e">
        <f t="shared" si="100"/>
        <v>#VALUE!</v>
      </c>
      <c r="AY82" s="7" t="e">
        <f t="shared" si="101"/>
        <v>#VALUE!</v>
      </c>
      <c r="AZ82" s="7" t="e">
        <f t="shared" si="102"/>
        <v>#VALUE!</v>
      </c>
      <c r="BA82" s="7"/>
    </row>
    <row r="83" spans="16:53" x14ac:dyDescent="0.25">
      <c r="P83">
        <f t="shared" si="106"/>
        <v>40</v>
      </c>
      <c r="Q83">
        <f t="shared" si="103"/>
        <v>1600</v>
      </c>
      <c r="R83" s="7">
        <f t="shared" si="71"/>
        <v>-11.592476891746337</v>
      </c>
      <c r="S83" s="7">
        <f t="shared" si="72"/>
        <v>-10.45672625811368</v>
      </c>
      <c r="T83" s="7">
        <f t="shared" si="73"/>
        <v>-12.016591899980959</v>
      </c>
      <c r="U83" s="7">
        <f t="shared" si="74"/>
        <v>-7.1115375224894866</v>
      </c>
      <c r="V83" s="7">
        <f t="shared" si="75"/>
        <v>-8.0769163490252414</v>
      </c>
      <c r="W83" s="7">
        <f t="shared" si="76"/>
        <v>-3.4296852424330071</v>
      </c>
      <c r="X83" s="7">
        <f t="shared" si="77"/>
        <v>-14.419910279977152</v>
      </c>
      <c r="Y83" s="7" t="e">
        <f t="shared" si="78"/>
        <v>#VALUE!</v>
      </c>
      <c r="Z83" s="7" t="e">
        <f t="shared" si="79"/>
        <v>#VALUE!</v>
      </c>
      <c r="AA83" s="7" t="e">
        <f t="shared" si="80"/>
        <v>#VALUE!</v>
      </c>
      <c r="AB83" s="7" t="e">
        <f t="shared" si="81"/>
        <v>#VALUE!</v>
      </c>
      <c r="AC83" s="7" t="e">
        <f t="shared" si="82"/>
        <v>#VALUE!</v>
      </c>
      <c r="AD83" s="7" t="e">
        <f t="shared" si="83"/>
        <v>#VALUE!</v>
      </c>
      <c r="AE83" s="7" t="e">
        <f t="shared" si="84"/>
        <v>#VALUE!</v>
      </c>
      <c r="AF83" s="7" t="e">
        <f t="shared" si="85"/>
        <v>#VALUE!</v>
      </c>
      <c r="AG83" s="7" t="e">
        <f t="shared" si="86"/>
        <v>#VALUE!</v>
      </c>
      <c r="AH83" s="7">
        <f t="shared" si="104"/>
        <v>28.647889756541161</v>
      </c>
      <c r="AJ83">
        <f t="shared" si="105"/>
        <v>1600</v>
      </c>
      <c r="AK83" s="7">
        <f t="shared" si="87"/>
        <v>0</v>
      </c>
      <c r="AL83" s="7">
        <f t="shared" si="88"/>
        <v>2.8614378040428594</v>
      </c>
      <c r="AM83" s="7">
        <f t="shared" si="89"/>
        <v>0</v>
      </c>
      <c r="AN83" s="7">
        <f t="shared" si="90"/>
        <v>7.4147267602424742</v>
      </c>
      <c r="AO83" s="7">
        <f t="shared" si="91"/>
        <v>3.8756224643893966</v>
      </c>
      <c r="AP83" s="7">
        <f t="shared" si="92"/>
        <v>15.746179544376679</v>
      </c>
      <c r="AQ83" s="7">
        <f t="shared" si="93"/>
        <v>0</v>
      </c>
      <c r="AR83" s="7" t="e">
        <f t="shared" si="94"/>
        <v>#VALUE!</v>
      </c>
      <c r="AS83" s="7" t="e">
        <f t="shared" si="95"/>
        <v>#VALUE!</v>
      </c>
      <c r="AT83" s="7" t="e">
        <f t="shared" si="96"/>
        <v>#VALUE!</v>
      </c>
      <c r="AU83" s="7" t="e">
        <f t="shared" si="97"/>
        <v>#VALUE!</v>
      </c>
      <c r="AV83" s="7" t="e">
        <f t="shared" si="98"/>
        <v>#VALUE!</v>
      </c>
      <c r="AW83" s="7" t="e">
        <f t="shared" si="99"/>
        <v>#VALUE!</v>
      </c>
      <c r="AX83" s="7" t="e">
        <f t="shared" si="100"/>
        <v>#VALUE!</v>
      </c>
      <c r="AY83" s="7" t="e">
        <f t="shared" si="101"/>
        <v>#VALUE!</v>
      </c>
      <c r="AZ83" s="7" t="e">
        <f t="shared" si="102"/>
        <v>#VALUE!</v>
      </c>
      <c r="BA83" s="7"/>
    </row>
    <row r="84" spans="16:53" x14ac:dyDescent="0.25">
      <c r="P84">
        <f t="shared" si="106"/>
        <v>40.5</v>
      </c>
      <c r="Q84">
        <f t="shared" si="103"/>
        <v>1620</v>
      </c>
      <c r="R84" s="7">
        <f t="shared" si="71"/>
        <v>-11.592476891746337</v>
      </c>
      <c r="S84" s="7">
        <f t="shared" si="72"/>
        <v>-10.55106441511797</v>
      </c>
      <c r="T84" s="7">
        <f t="shared" si="73"/>
        <v>-12.016591899980959</v>
      </c>
      <c r="U84" s="7">
        <f t="shared" si="74"/>
        <v>-7.2136189564417625</v>
      </c>
      <c r="V84" s="7">
        <f t="shared" si="75"/>
        <v>-8.2116062329053658</v>
      </c>
      <c r="W84" s="7">
        <f t="shared" si="76"/>
        <v>-3.8044811419337403</v>
      </c>
      <c r="X84" s="7">
        <f t="shared" si="77"/>
        <v>-14.419910279977152</v>
      </c>
      <c r="Y84" s="7" t="e">
        <f t="shared" si="78"/>
        <v>#VALUE!</v>
      </c>
      <c r="Z84" s="7" t="e">
        <f t="shared" si="79"/>
        <v>#VALUE!</v>
      </c>
      <c r="AA84" s="7" t="e">
        <f t="shared" si="80"/>
        <v>#VALUE!</v>
      </c>
      <c r="AB84" s="7" t="e">
        <f t="shared" si="81"/>
        <v>#VALUE!</v>
      </c>
      <c r="AC84" s="7" t="e">
        <f t="shared" si="82"/>
        <v>#VALUE!</v>
      </c>
      <c r="AD84" s="7" t="e">
        <f t="shared" si="83"/>
        <v>#VALUE!</v>
      </c>
      <c r="AE84" s="7" t="e">
        <f t="shared" si="84"/>
        <v>#VALUE!</v>
      </c>
      <c r="AF84" s="7" t="e">
        <f t="shared" si="85"/>
        <v>#VALUE!</v>
      </c>
      <c r="AG84" s="7" t="e">
        <f t="shared" si="86"/>
        <v>#VALUE!</v>
      </c>
      <c r="AH84" s="7">
        <f t="shared" si="104"/>
        <v>28.647889756541161</v>
      </c>
      <c r="AJ84">
        <f t="shared" si="105"/>
        <v>1620</v>
      </c>
      <c r="AK84" s="7">
        <f t="shared" si="87"/>
        <v>0</v>
      </c>
      <c r="AL84" s="7">
        <f t="shared" si="88"/>
        <v>2.6559375067671072</v>
      </c>
      <c r="AM84" s="7">
        <f t="shared" si="89"/>
        <v>0</v>
      </c>
      <c r="AN84" s="7">
        <f t="shared" si="90"/>
        <v>7.242669384884004</v>
      </c>
      <c r="AO84" s="7">
        <f t="shared" si="91"/>
        <v>3.5787307332292029</v>
      </c>
      <c r="AP84" s="7">
        <f t="shared" si="92"/>
        <v>14.962559324828673</v>
      </c>
      <c r="AQ84" s="7">
        <f t="shared" si="93"/>
        <v>0</v>
      </c>
      <c r="AR84" s="7" t="e">
        <f t="shared" si="94"/>
        <v>#VALUE!</v>
      </c>
      <c r="AS84" s="7" t="e">
        <f t="shared" si="95"/>
        <v>#VALUE!</v>
      </c>
      <c r="AT84" s="7" t="e">
        <f t="shared" si="96"/>
        <v>#VALUE!</v>
      </c>
      <c r="AU84" s="7" t="e">
        <f t="shared" si="97"/>
        <v>#VALUE!</v>
      </c>
      <c r="AV84" s="7" t="e">
        <f t="shared" si="98"/>
        <v>#VALUE!</v>
      </c>
      <c r="AW84" s="7" t="e">
        <f t="shared" si="99"/>
        <v>#VALUE!</v>
      </c>
      <c r="AX84" s="7" t="e">
        <f t="shared" si="100"/>
        <v>#VALUE!</v>
      </c>
      <c r="AY84" s="7" t="e">
        <f t="shared" si="101"/>
        <v>#VALUE!</v>
      </c>
      <c r="AZ84" s="7" t="e">
        <f t="shared" si="102"/>
        <v>#VALUE!</v>
      </c>
      <c r="BA84" s="7"/>
    </row>
    <row r="85" spans="16:53" x14ac:dyDescent="0.25">
      <c r="P85">
        <f t="shared" si="106"/>
        <v>41</v>
      </c>
      <c r="Q85">
        <f t="shared" si="103"/>
        <v>1640</v>
      </c>
      <c r="R85" s="7">
        <f t="shared" si="71"/>
        <v>-11.592476891746337</v>
      </c>
      <c r="S85" s="7">
        <f t="shared" si="72"/>
        <v>-10.643133570941462</v>
      </c>
      <c r="T85" s="7">
        <f t="shared" si="73"/>
        <v>-12.016591899980959</v>
      </c>
      <c r="U85" s="7">
        <f t="shared" si="74"/>
        <v>-7.3132479994799349</v>
      </c>
      <c r="V85" s="7">
        <f t="shared" si="75"/>
        <v>-8.3430844665166966</v>
      </c>
      <c r="W85" s="7">
        <f t="shared" si="76"/>
        <v>-4.1706033287640842</v>
      </c>
      <c r="X85" s="7">
        <f t="shared" si="77"/>
        <v>-14.419910279977152</v>
      </c>
      <c r="Y85" s="7" t="e">
        <f t="shared" si="78"/>
        <v>#VALUE!</v>
      </c>
      <c r="Z85" s="7" t="e">
        <f t="shared" si="79"/>
        <v>#VALUE!</v>
      </c>
      <c r="AA85" s="7" t="e">
        <f t="shared" si="80"/>
        <v>#VALUE!</v>
      </c>
      <c r="AB85" s="7" t="e">
        <f t="shared" si="81"/>
        <v>#VALUE!</v>
      </c>
      <c r="AC85" s="7" t="e">
        <f t="shared" si="82"/>
        <v>#VALUE!</v>
      </c>
      <c r="AD85" s="7" t="e">
        <f t="shared" si="83"/>
        <v>#VALUE!</v>
      </c>
      <c r="AE85" s="7" t="e">
        <f t="shared" si="84"/>
        <v>#VALUE!</v>
      </c>
      <c r="AF85" s="7" t="e">
        <f t="shared" si="85"/>
        <v>#VALUE!</v>
      </c>
      <c r="AG85" s="7" t="e">
        <f t="shared" si="86"/>
        <v>#VALUE!</v>
      </c>
      <c r="AH85" s="7">
        <f t="shared" si="104"/>
        <v>28.647889756541161</v>
      </c>
      <c r="AJ85">
        <f t="shared" si="105"/>
        <v>1640</v>
      </c>
      <c r="AK85" s="7">
        <f t="shared" si="87"/>
        <v>0</v>
      </c>
      <c r="AL85" s="7">
        <f t="shared" si="88"/>
        <v>2.4504760876061105</v>
      </c>
      <c r="AM85" s="7">
        <f t="shared" si="89"/>
        <v>0</v>
      </c>
      <c r="AN85" s="7">
        <f t="shared" si="90"/>
        <v>7.070761248178794</v>
      </c>
      <c r="AO85" s="7">
        <f t="shared" si="91"/>
        <v>3.2819217387558672</v>
      </c>
      <c r="AP85" s="7">
        <f t="shared" si="92"/>
        <v>14.179752197056951</v>
      </c>
      <c r="AQ85" s="7">
        <f t="shared" si="93"/>
        <v>0</v>
      </c>
      <c r="AR85" s="7" t="e">
        <f t="shared" si="94"/>
        <v>#VALUE!</v>
      </c>
      <c r="AS85" s="7" t="e">
        <f t="shared" si="95"/>
        <v>#VALUE!</v>
      </c>
      <c r="AT85" s="7" t="e">
        <f t="shared" si="96"/>
        <v>#VALUE!</v>
      </c>
      <c r="AU85" s="7" t="e">
        <f t="shared" si="97"/>
        <v>#VALUE!</v>
      </c>
      <c r="AV85" s="7" t="e">
        <f t="shared" si="98"/>
        <v>#VALUE!</v>
      </c>
      <c r="AW85" s="7" t="e">
        <f t="shared" si="99"/>
        <v>#VALUE!</v>
      </c>
      <c r="AX85" s="7" t="e">
        <f t="shared" si="100"/>
        <v>#VALUE!</v>
      </c>
      <c r="AY85" s="7" t="e">
        <f t="shared" si="101"/>
        <v>#VALUE!</v>
      </c>
      <c r="AZ85" s="7" t="e">
        <f t="shared" si="102"/>
        <v>#VALUE!</v>
      </c>
      <c r="BA85" s="7"/>
    </row>
    <row r="86" spans="16:53" x14ac:dyDescent="0.25">
      <c r="P86">
        <f t="shared" si="106"/>
        <v>41.5</v>
      </c>
      <c r="Q86">
        <f t="shared" si="103"/>
        <v>1660</v>
      </c>
      <c r="R86" s="7">
        <f t="shared" si="71"/>
        <v>-11.592476891746337</v>
      </c>
      <c r="S86" s="7">
        <f t="shared" si="72"/>
        <v>-10.733014613135964</v>
      </c>
      <c r="T86" s="7">
        <f t="shared" si="73"/>
        <v>-12.016591899980959</v>
      </c>
      <c r="U86" s="7">
        <f t="shared" si="74"/>
        <v>-7.4105119765367826</v>
      </c>
      <c r="V86" s="7">
        <f t="shared" si="75"/>
        <v>-8.4714645680784457</v>
      </c>
      <c r="W86" s="7">
        <f t="shared" si="76"/>
        <v>-4.5283494557527533</v>
      </c>
      <c r="X86" s="7">
        <f t="shared" si="77"/>
        <v>-14.419910279977152</v>
      </c>
      <c r="Y86" s="7" t="e">
        <f t="shared" si="78"/>
        <v>#VALUE!</v>
      </c>
      <c r="Z86" s="7" t="e">
        <f t="shared" si="79"/>
        <v>#VALUE!</v>
      </c>
      <c r="AA86" s="7" t="e">
        <f t="shared" si="80"/>
        <v>#VALUE!</v>
      </c>
      <c r="AB86" s="7" t="e">
        <f t="shared" si="81"/>
        <v>#VALUE!</v>
      </c>
      <c r="AC86" s="7" t="e">
        <f t="shared" si="82"/>
        <v>#VALUE!</v>
      </c>
      <c r="AD86" s="7" t="e">
        <f t="shared" si="83"/>
        <v>#VALUE!</v>
      </c>
      <c r="AE86" s="7" t="e">
        <f t="shared" si="84"/>
        <v>#VALUE!</v>
      </c>
      <c r="AF86" s="7" t="e">
        <f t="shared" si="85"/>
        <v>#VALUE!</v>
      </c>
      <c r="AG86" s="7" t="e">
        <f t="shared" si="86"/>
        <v>#VALUE!</v>
      </c>
      <c r="AH86" s="7">
        <f t="shared" si="104"/>
        <v>28.647889756541161</v>
      </c>
      <c r="AJ86">
        <f t="shared" si="105"/>
        <v>1660</v>
      </c>
      <c r="AK86" s="7">
        <f t="shared" si="87"/>
        <v>0</v>
      </c>
      <c r="AL86" s="7">
        <f t="shared" si="88"/>
        <v>2.2450488474260903</v>
      </c>
      <c r="AM86" s="7">
        <f t="shared" si="89"/>
        <v>0</v>
      </c>
      <c r="AN86" s="7">
        <f t="shared" si="90"/>
        <v>6.8989919580242614</v>
      </c>
      <c r="AO86" s="7">
        <f t="shared" si="91"/>
        <v>2.9851850736407135</v>
      </c>
      <c r="AP86" s="7">
        <f t="shared" si="92"/>
        <v>13.397680780021307</v>
      </c>
      <c r="AQ86" s="7">
        <f t="shared" si="93"/>
        <v>0</v>
      </c>
      <c r="AR86" s="7" t="e">
        <f t="shared" si="94"/>
        <v>#VALUE!</v>
      </c>
      <c r="AS86" s="7" t="e">
        <f t="shared" si="95"/>
        <v>#VALUE!</v>
      </c>
      <c r="AT86" s="7" t="e">
        <f t="shared" si="96"/>
        <v>#VALUE!</v>
      </c>
      <c r="AU86" s="7" t="e">
        <f t="shared" si="97"/>
        <v>#VALUE!</v>
      </c>
      <c r="AV86" s="7" t="e">
        <f t="shared" si="98"/>
        <v>#VALUE!</v>
      </c>
      <c r="AW86" s="7" t="e">
        <f t="shared" si="99"/>
        <v>#VALUE!</v>
      </c>
      <c r="AX86" s="7" t="e">
        <f t="shared" si="100"/>
        <v>#VALUE!</v>
      </c>
      <c r="AY86" s="7" t="e">
        <f t="shared" si="101"/>
        <v>#VALUE!</v>
      </c>
      <c r="AZ86" s="7" t="e">
        <f t="shared" si="102"/>
        <v>#VALUE!</v>
      </c>
      <c r="BA86" s="7"/>
    </row>
    <row r="87" spans="16:53" x14ac:dyDescent="0.25">
      <c r="P87">
        <f t="shared" si="106"/>
        <v>42</v>
      </c>
      <c r="Q87">
        <f t="shared" si="103"/>
        <v>1680</v>
      </c>
      <c r="R87" s="7">
        <f t="shared" si="71"/>
        <v>-11.592476891746337</v>
      </c>
      <c r="S87" s="7">
        <f t="shared" si="72"/>
        <v>-10.820784629660089</v>
      </c>
      <c r="T87" s="7">
        <f t="shared" si="73"/>
        <v>-12.016591899980959</v>
      </c>
      <c r="U87" s="7">
        <f t="shared" si="74"/>
        <v>-7.5054941152134838</v>
      </c>
      <c r="V87" s="7">
        <f t="shared" si="75"/>
        <v>-8.5968547682570602</v>
      </c>
      <c r="W87" s="7">
        <f t="shared" si="76"/>
        <v>-4.8780037104888212</v>
      </c>
      <c r="X87" s="7">
        <f t="shared" si="77"/>
        <v>-14.419910279977152</v>
      </c>
      <c r="Y87" s="7" t="e">
        <f t="shared" si="78"/>
        <v>#VALUE!</v>
      </c>
      <c r="Z87" s="7" t="e">
        <f t="shared" si="79"/>
        <v>#VALUE!</v>
      </c>
      <c r="AA87" s="7" t="e">
        <f t="shared" si="80"/>
        <v>#VALUE!</v>
      </c>
      <c r="AB87" s="7" t="e">
        <f t="shared" si="81"/>
        <v>#VALUE!</v>
      </c>
      <c r="AC87" s="7" t="e">
        <f t="shared" si="82"/>
        <v>#VALUE!</v>
      </c>
      <c r="AD87" s="7" t="e">
        <f t="shared" si="83"/>
        <v>#VALUE!</v>
      </c>
      <c r="AE87" s="7" t="e">
        <f t="shared" si="84"/>
        <v>#VALUE!</v>
      </c>
      <c r="AF87" s="7" t="e">
        <f t="shared" si="85"/>
        <v>#VALUE!</v>
      </c>
      <c r="AG87" s="7" t="e">
        <f t="shared" si="86"/>
        <v>#VALUE!</v>
      </c>
      <c r="AH87" s="7">
        <f t="shared" si="104"/>
        <v>28.647889756541161</v>
      </c>
      <c r="AJ87">
        <f t="shared" si="105"/>
        <v>1680</v>
      </c>
      <c r="AK87" s="7">
        <f t="shared" si="87"/>
        <v>0</v>
      </c>
      <c r="AL87" s="7">
        <f t="shared" si="88"/>
        <v>2.0396514616336772</v>
      </c>
      <c r="AM87" s="7">
        <f t="shared" si="89"/>
        <v>0</v>
      </c>
      <c r="AN87" s="7">
        <f t="shared" si="90"/>
        <v>6.727351845388319</v>
      </c>
      <c r="AO87" s="7">
        <f t="shared" si="91"/>
        <v>2.6885111598050941</v>
      </c>
      <c r="AP87" s="7">
        <f t="shared" si="92"/>
        <v>12.61627340624581</v>
      </c>
      <c r="AQ87" s="7">
        <f t="shared" si="93"/>
        <v>0</v>
      </c>
      <c r="AR87" s="7" t="e">
        <f t="shared" si="94"/>
        <v>#VALUE!</v>
      </c>
      <c r="AS87" s="7" t="e">
        <f t="shared" si="95"/>
        <v>#VALUE!</v>
      </c>
      <c r="AT87" s="7" t="e">
        <f t="shared" si="96"/>
        <v>#VALUE!</v>
      </c>
      <c r="AU87" s="7" t="e">
        <f t="shared" si="97"/>
        <v>#VALUE!</v>
      </c>
      <c r="AV87" s="7" t="e">
        <f t="shared" si="98"/>
        <v>#VALUE!</v>
      </c>
      <c r="AW87" s="7" t="e">
        <f t="shared" si="99"/>
        <v>#VALUE!</v>
      </c>
      <c r="AX87" s="7" t="e">
        <f t="shared" si="100"/>
        <v>#VALUE!</v>
      </c>
      <c r="AY87" s="7" t="e">
        <f t="shared" si="101"/>
        <v>#VALUE!</v>
      </c>
      <c r="AZ87" s="7" t="e">
        <f t="shared" si="102"/>
        <v>#VALUE!</v>
      </c>
      <c r="BA87" s="7"/>
    </row>
    <row r="88" spans="16:53" x14ac:dyDescent="0.25">
      <c r="P88">
        <f t="shared" si="106"/>
        <v>42.5</v>
      </c>
      <c r="Q88">
        <f t="shared" si="103"/>
        <v>1700</v>
      </c>
      <c r="R88" s="7">
        <f t="shared" si="71"/>
        <v>-11.592476891746337</v>
      </c>
      <c r="S88" s="7">
        <f t="shared" si="72"/>
        <v>-10.906517129391201</v>
      </c>
      <c r="T88" s="7">
        <f t="shared" si="73"/>
        <v>-12.016591899980959</v>
      </c>
      <c r="U88" s="7">
        <f t="shared" si="74"/>
        <v>-7.5982737833046059</v>
      </c>
      <c r="V88" s="7">
        <f t="shared" si="75"/>
        <v>-8.7193583144829603</v>
      </c>
      <c r="W88" s="7">
        <f t="shared" si="76"/>
        <v>-5.2198375682334692</v>
      </c>
      <c r="X88" s="7">
        <f t="shared" si="77"/>
        <v>-14.419910279977152</v>
      </c>
      <c r="Y88" s="7" t="e">
        <f t="shared" si="78"/>
        <v>#VALUE!</v>
      </c>
      <c r="Z88" s="7" t="e">
        <f t="shared" si="79"/>
        <v>#VALUE!</v>
      </c>
      <c r="AA88" s="7" t="e">
        <f t="shared" si="80"/>
        <v>#VALUE!</v>
      </c>
      <c r="AB88" s="7" t="e">
        <f t="shared" si="81"/>
        <v>#VALUE!</v>
      </c>
      <c r="AC88" s="7" t="e">
        <f t="shared" si="82"/>
        <v>#VALUE!</v>
      </c>
      <c r="AD88" s="7" t="e">
        <f t="shared" si="83"/>
        <v>#VALUE!</v>
      </c>
      <c r="AE88" s="7" t="e">
        <f t="shared" si="84"/>
        <v>#VALUE!</v>
      </c>
      <c r="AF88" s="7" t="e">
        <f t="shared" si="85"/>
        <v>#VALUE!</v>
      </c>
      <c r="AG88" s="7" t="e">
        <f t="shared" si="86"/>
        <v>#VALUE!</v>
      </c>
      <c r="AH88" s="7">
        <f t="shared" si="104"/>
        <v>28.647889756541161</v>
      </c>
      <c r="AJ88">
        <f t="shared" si="105"/>
        <v>1700</v>
      </c>
      <c r="AK88" s="7">
        <f t="shared" si="87"/>
        <v>0</v>
      </c>
      <c r="AL88" s="7">
        <f t="shared" si="88"/>
        <v>1.8342799496166684</v>
      </c>
      <c r="AM88" s="7">
        <f t="shared" si="89"/>
        <v>0</v>
      </c>
      <c r="AN88" s="7">
        <f t="shared" si="90"/>
        <v>6.555831908900573</v>
      </c>
      <c r="AO88" s="7">
        <f t="shared" si="91"/>
        <v>2.3918911810959633</v>
      </c>
      <c r="AP88" s="7">
        <f t="shared" si="92"/>
        <v>11.835463679987317</v>
      </c>
      <c r="AQ88" s="7">
        <f t="shared" si="93"/>
        <v>0</v>
      </c>
      <c r="AR88" s="7" t="e">
        <f t="shared" si="94"/>
        <v>#VALUE!</v>
      </c>
      <c r="AS88" s="7" t="e">
        <f t="shared" si="95"/>
        <v>#VALUE!</v>
      </c>
      <c r="AT88" s="7" t="e">
        <f t="shared" si="96"/>
        <v>#VALUE!</v>
      </c>
      <c r="AU88" s="7" t="e">
        <f t="shared" si="97"/>
        <v>#VALUE!</v>
      </c>
      <c r="AV88" s="7" t="e">
        <f t="shared" si="98"/>
        <v>#VALUE!</v>
      </c>
      <c r="AW88" s="7" t="e">
        <f t="shared" si="99"/>
        <v>#VALUE!</v>
      </c>
      <c r="AX88" s="7" t="e">
        <f t="shared" si="100"/>
        <v>#VALUE!</v>
      </c>
      <c r="AY88" s="7" t="e">
        <f t="shared" si="101"/>
        <v>#VALUE!</v>
      </c>
      <c r="AZ88" s="7" t="e">
        <f t="shared" si="102"/>
        <v>#VALUE!</v>
      </c>
      <c r="BA88" s="7"/>
    </row>
    <row r="89" spans="16:53" x14ac:dyDescent="0.25">
      <c r="P89">
        <f t="shared" si="106"/>
        <v>43</v>
      </c>
      <c r="Q89">
        <f t="shared" si="103"/>
        <v>1720</v>
      </c>
      <c r="R89" s="7">
        <f t="shared" si="71"/>
        <v>-11.592476891746337</v>
      </c>
      <c r="S89" s="7">
        <f t="shared" si="72"/>
        <v>-10.990282247456499</v>
      </c>
      <c r="T89" s="7">
        <f t="shared" si="73"/>
        <v>-12.016591899980959</v>
      </c>
      <c r="U89" s="7">
        <f t="shared" si="74"/>
        <v>-7.6889267099890866</v>
      </c>
      <c r="V89" s="7">
        <f t="shared" si="75"/>
        <v>-8.8390737544891049</v>
      </c>
      <c r="W89" s="7">
        <f t="shared" si="76"/>
        <v>-5.5541104948713977</v>
      </c>
      <c r="X89" s="7">
        <f t="shared" si="77"/>
        <v>-14.419910279977152</v>
      </c>
      <c r="Y89" s="7" t="e">
        <f t="shared" si="78"/>
        <v>#VALUE!</v>
      </c>
      <c r="Z89" s="7" t="e">
        <f t="shared" si="79"/>
        <v>#VALUE!</v>
      </c>
      <c r="AA89" s="7" t="e">
        <f t="shared" si="80"/>
        <v>#VALUE!</v>
      </c>
      <c r="AB89" s="7" t="e">
        <f t="shared" si="81"/>
        <v>#VALUE!</v>
      </c>
      <c r="AC89" s="7" t="e">
        <f t="shared" si="82"/>
        <v>#VALUE!</v>
      </c>
      <c r="AD89" s="7" t="e">
        <f t="shared" si="83"/>
        <v>#VALUE!</v>
      </c>
      <c r="AE89" s="7" t="e">
        <f t="shared" si="84"/>
        <v>#VALUE!</v>
      </c>
      <c r="AF89" s="7" t="e">
        <f t="shared" si="85"/>
        <v>#VALUE!</v>
      </c>
      <c r="AG89" s="7" t="e">
        <f t="shared" si="86"/>
        <v>#VALUE!</v>
      </c>
      <c r="AH89" s="7">
        <f t="shared" si="104"/>
        <v>28.647889756541161</v>
      </c>
      <c r="AJ89">
        <f t="shared" si="105"/>
        <v>1720</v>
      </c>
      <c r="AK89" s="7">
        <f t="shared" si="87"/>
        <v>0</v>
      </c>
      <c r="AL89" s="7">
        <f t="shared" si="88"/>
        <v>1.6289306468890177</v>
      </c>
      <c r="AM89" s="7">
        <f t="shared" si="89"/>
        <v>0</v>
      </c>
      <c r="AN89" s="7">
        <f t="shared" si="90"/>
        <v>6.3844237641709851</v>
      </c>
      <c r="AO89" s="7">
        <f t="shared" si="91"/>
        <v>2.0953170218811326</v>
      </c>
      <c r="AP89" s="7">
        <f t="shared" si="92"/>
        <v>11.055190072751534</v>
      </c>
      <c r="AQ89" s="7">
        <f t="shared" si="93"/>
        <v>0</v>
      </c>
      <c r="AR89" s="7" t="e">
        <f t="shared" si="94"/>
        <v>#VALUE!</v>
      </c>
      <c r="AS89" s="7" t="e">
        <f t="shared" si="95"/>
        <v>#VALUE!</v>
      </c>
      <c r="AT89" s="7" t="e">
        <f t="shared" si="96"/>
        <v>#VALUE!</v>
      </c>
      <c r="AU89" s="7" t="e">
        <f t="shared" si="97"/>
        <v>#VALUE!</v>
      </c>
      <c r="AV89" s="7" t="e">
        <f t="shared" si="98"/>
        <v>#VALUE!</v>
      </c>
      <c r="AW89" s="7" t="e">
        <f t="shared" si="99"/>
        <v>#VALUE!</v>
      </c>
      <c r="AX89" s="7" t="e">
        <f t="shared" si="100"/>
        <v>#VALUE!</v>
      </c>
      <c r="AY89" s="7" t="e">
        <f t="shared" si="101"/>
        <v>#VALUE!</v>
      </c>
      <c r="AZ89" s="7" t="e">
        <f t="shared" si="102"/>
        <v>#VALUE!</v>
      </c>
      <c r="BA89" s="7"/>
    </row>
    <row r="90" spans="16:53" x14ac:dyDescent="0.25">
      <c r="P90">
        <f t="shared" si="106"/>
        <v>43.5</v>
      </c>
      <c r="Q90">
        <f t="shared" si="103"/>
        <v>1740</v>
      </c>
      <c r="R90" s="7">
        <f t="shared" si="71"/>
        <v>-11.592476891746337</v>
      </c>
      <c r="S90" s="7">
        <f t="shared" si="72"/>
        <v>-11.072146936588686</v>
      </c>
      <c r="T90" s="7">
        <f t="shared" si="73"/>
        <v>-12.016591899980959</v>
      </c>
      <c r="U90" s="7">
        <f t="shared" si="74"/>
        <v>-7.7775251919828419</v>
      </c>
      <c r="V90" s="7">
        <f t="shared" si="75"/>
        <v>-8.9560952007078676</v>
      </c>
      <c r="W90" s="7">
        <f t="shared" si="76"/>
        <v>-5.881070603727256</v>
      </c>
      <c r="X90" s="7">
        <f t="shared" si="77"/>
        <v>-14.419910279977152</v>
      </c>
      <c r="Y90" s="7" t="e">
        <f t="shared" si="78"/>
        <v>#VALUE!</v>
      </c>
      <c r="Z90" s="7" t="e">
        <f t="shared" si="79"/>
        <v>#VALUE!</v>
      </c>
      <c r="AA90" s="7" t="e">
        <f t="shared" si="80"/>
        <v>#VALUE!</v>
      </c>
      <c r="AB90" s="7" t="e">
        <f t="shared" si="81"/>
        <v>#VALUE!</v>
      </c>
      <c r="AC90" s="7" t="e">
        <f t="shared" si="82"/>
        <v>#VALUE!</v>
      </c>
      <c r="AD90" s="7" t="e">
        <f t="shared" si="83"/>
        <v>#VALUE!</v>
      </c>
      <c r="AE90" s="7" t="e">
        <f t="shared" si="84"/>
        <v>#VALUE!</v>
      </c>
      <c r="AF90" s="7" t="e">
        <f t="shared" si="85"/>
        <v>#VALUE!</v>
      </c>
      <c r="AG90" s="7" t="e">
        <f t="shared" si="86"/>
        <v>#VALUE!</v>
      </c>
      <c r="AH90" s="7">
        <f t="shared" si="104"/>
        <v>28.647889756541161</v>
      </c>
      <c r="AJ90">
        <f t="shared" si="105"/>
        <v>1740</v>
      </c>
      <c r="AK90" s="7">
        <f t="shared" si="87"/>
        <v>0</v>
      </c>
      <c r="AL90" s="7">
        <f t="shared" si="88"/>
        <v>1.4236001796781643</v>
      </c>
      <c r="AM90" s="7">
        <f t="shared" si="89"/>
        <v>0</v>
      </c>
      <c r="AN90" s="7">
        <f t="shared" si="90"/>
        <v>6.2131195973891522</v>
      </c>
      <c r="AO90" s="7">
        <f t="shared" si="91"/>
        <v>1.7987812109949697</v>
      </c>
      <c r="AP90" s="7">
        <f t="shared" si="92"/>
        <v>10.275395552688959</v>
      </c>
      <c r="AQ90" s="7">
        <f t="shared" si="93"/>
        <v>0</v>
      </c>
      <c r="AR90" s="7" t="e">
        <f t="shared" si="94"/>
        <v>#VALUE!</v>
      </c>
      <c r="AS90" s="7" t="e">
        <f t="shared" si="95"/>
        <v>#VALUE!</v>
      </c>
      <c r="AT90" s="7" t="e">
        <f t="shared" si="96"/>
        <v>#VALUE!</v>
      </c>
      <c r="AU90" s="7" t="e">
        <f t="shared" si="97"/>
        <v>#VALUE!</v>
      </c>
      <c r="AV90" s="7" t="e">
        <f t="shared" si="98"/>
        <v>#VALUE!</v>
      </c>
      <c r="AW90" s="7" t="e">
        <f t="shared" si="99"/>
        <v>#VALUE!</v>
      </c>
      <c r="AX90" s="7" t="e">
        <f t="shared" si="100"/>
        <v>#VALUE!</v>
      </c>
      <c r="AY90" s="7" t="e">
        <f t="shared" si="101"/>
        <v>#VALUE!</v>
      </c>
      <c r="AZ90" s="7" t="e">
        <f t="shared" si="102"/>
        <v>#VALUE!</v>
      </c>
      <c r="BA90" s="7"/>
    </row>
    <row r="91" spans="16:53" x14ac:dyDescent="0.25">
      <c r="P91">
        <f t="shared" si="106"/>
        <v>44</v>
      </c>
      <c r="Q91">
        <f t="shared" si="103"/>
        <v>1760</v>
      </c>
      <c r="R91" s="7">
        <f t="shared" si="71"/>
        <v>-11.592476891746337</v>
      </c>
      <c r="S91" s="7">
        <f t="shared" si="72"/>
        <v>-11.152175145603561</v>
      </c>
      <c r="T91" s="7">
        <f t="shared" si="73"/>
        <v>-12.016591899980959</v>
      </c>
      <c r="U91" s="7">
        <f t="shared" si="74"/>
        <v>-7.8641382858324356</v>
      </c>
      <c r="V91" s="7">
        <f t="shared" si="75"/>
        <v>-9.0705125770171158</v>
      </c>
      <c r="W91" s="7">
        <f t="shared" si="76"/>
        <v>-6.2009552697414136</v>
      </c>
      <c r="X91" s="7">
        <f t="shared" si="77"/>
        <v>-14.419910279977152</v>
      </c>
      <c r="Y91" s="7" t="e">
        <f t="shared" si="78"/>
        <v>#VALUE!</v>
      </c>
      <c r="Z91" s="7" t="e">
        <f t="shared" si="79"/>
        <v>#VALUE!</v>
      </c>
      <c r="AA91" s="7" t="e">
        <f t="shared" si="80"/>
        <v>#VALUE!</v>
      </c>
      <c r="AB91" s="7" t="e">
        <f t="shared" si="81"/>
        <v>#VALUE!</v>
      </c>
      <c r="AC91" s="7" t="e">
        <f t="shared" si="82"/>
        <v>#VALUE!</v>
      </c>
      <c r="AD91" s="7" t="e">
        <f t="shared" si="83"/>
        <v>#VALUE!</v>
      </c>
      <c r="AE91" s="7" t="e">
        <f t="shared" si="84"/>
        <v>#VALUE!</v>
      </c>
      <c r="AF91" s="7" t="e">
        <f t="shared" si="85"/>
        <v>#VALUE!</v>
      </c>
      <c r="AG91" s="7" t="e">
        <f t="shared" si="86"/>
        <v>#VALUE!</v>
      </c>
      <c r="AH91" s="7">
        <f t="shared" si="104"/>
        <v>28.647889756541161</v>
      </c>
      <c r="AJ91">
        <f t="shared" si="105"/>
        <v>1760</v>
      </c>
      <c r="AK91" s="7">
        <f t="shared" si="87"/>
        <v>0</v>
      </c>
      <c r="AL91" s="7">
        <f t="shared" si="88"/>
        <v>1.2182854417205173</v>
      </c>
      <c r="AM91" s="7">
        <f t="shared" si="89"/>
        <v>0</v>
      </c>
      <c r="AN91" s="7">
        <f t="shared" si="90"/>
        <v>6.0419121228036978</v>
      </c>
      <c r="AO91" s="7">
        <f t="shared" si="91"/>
        <v>1.5022768705249743</v>
      </c>
      <c r="AP91" s="7">
        <f t="shared" si="92"/>
        <v>9.496027244755112</v>
      </c>
      <c r="AQ91" s="7">
        <f t="shared" si="93"/>
        <v>0</v>
      </c>
      <c r="AR91" s="7" t="e">
        <f t="shared" si="94"/>
        <v>#VALUE!</v>
      </c>
      <c r="AS91" s="7" t="e">
        <f t="shared" si="95"/>
        <v>#VALUE!</v>
      </c>
      <c r="AT91" s="7" t="e">
        <f t="shared" si="96"/>
        <v>#VALUE!</v>
      </c>
      <c r="AU91" s="7" t="e">
        <f t="shared" si="97"/>
        <v>#VALUE!</v>
      </c>
      <c r="AV91" s="7" t="e">
        <f t="shared" si="98"/>
        <v>#VALUE!</v>
      </c>
      <c r="AW91" s="7" t="e">
        <f t="shared" si="99"/>
        <v>#VALUE!</v>
      </c>
      <c r="AX91" s="7" t="e">
        <f t="shared" si="100"/>
        <v>#VALUE!</v>
      </c>
      <c r="AY91" s="7" t="e">
        <f t="shared" si="101"/>
        <v>#VALUE!</v>
      </c>
      <c r="AZ91" s="7" t="e">
        <f t="shared" si="102"/>
        <v>#VALUE!</v>
      </c>
      <c r="BA91" s="7"/>
    </row>
    <row r="92" spans="16:53" x14ac:dyDescent="0.25">
      <c r="P92">
        <f t="shared" si="106"/>
        <v>44.5</v>
      </c>
      <c r="Q92">
        <f t="shared" si="103"/>
        <v>1780</v>
      </c>
      <c r="R92" s="7">
        <f t="shared" si="71"/>
        <v>-11.592476891746337</v>
      </c>
      <c r="S92" s="7">
        <f t="shared" si="72"/>
        <v>-11.230427985999363</v>
      </c>
      <c r="T92" s="7">
        <f t="shared" si="73"/>
        <v>-12.016591899980959</v>
      </c>
      <c r="U92" s="7">
        <f t="shared" si="74"/>
        <v>-7.948831987424791</v>
      </c>
      <c r="V92" s="7">
        <f t="shared" si="75"/>
        <v>-9.1824118491950646</v>
      </c>
      <c r="W92" s="7">
        <f t="shared" si="76"/>
        <v>-6.5139917042000928</v>
      </c>
      <c r="X92" s="7">
        <f t="shared" si="77"/>
        <v>-14.419910279977152</v>
      </c>
      <c r="Y92" s="7" t="e">
        <f t="shared" si="78"/>
        <v>#VALUE!</v>
      </c>
      <c r="Z92" s="7" t="e">
        <f t="shared" si="79"/>
        <v>#VALUE!</v>
      </c>
      <c r="AA92" s="7" t="e">
        <f t="shared" si="80"/>
        <v>#VALUE!</v>
      </c>
      <c r="AB92" s="7" t="e">
        <f t="shared" si="81"/>
        <v>#VALUE!</v>
      </c>
      <c r="AC92" s="7" t="e">
        <f t="shared" si="82"/>
        <v>#VALUE!</v>
      </c>
      <c r="AD92" s="7" t="e">
        <f t="shared" si="83"/>
        <v>#VALUE!</v>
      </c>
      <c r="AE92" s="7" t="e">
        <f t="shared" si="84"/>
        <v>#VALUE!</v>
      </c>
      <c r="AF92" s="7" t="e">
        <f t="shared" si="85"/>
        <v>#VALUE!</v>
      </c>
      <c r="AG92" s="7" t="e">
        <f t="shared" si="86"/>
        <v>#VALUE!</v>
      </c>
      <c r="AH92" s="7">
        <f t="shared" si="104"/>
        <v>28.647889756541161</v>
      </c>
      <c r="AJ92">
        <f t="shared" si="105"/>
        <v>1780</v>
      </c>
      <c r="AK92" s="7">
        <f t="shared" si="87"/>
        <v>0</v>
      </c>
      <c r="AL92" s="7">
        <f t="shared" si="88"/>
        <v>1.0129835730554422</v>
      </c>
      <c r="AM92" s="7">
        <f t="shared" si="89"/>
        <v>0</v>
      </c>
      <c r="AN92" s="7">
        <f t="shared" si="90"/>
        <v>5.8707945437224618</v>
      </c>
      <c r="AO92" s="7">
        <f t="shared" si="91"/>
        <v>1.2057976689827021</v>
      </c>
      <c r="AP92" s="7">
        <f t="shared" si="92"/>
        <v>8.7170361188329952</v>
      </c>
      <c r="AQ92" s="7">
        <f t="shared" si="93"/>
        <v>0</v>
      </c>
      <c r="AR92" s="7" t="e">
        <f t="shared" si="94"/>
        <v>#VALUE!</v>
      </c>
      <c r="AS92" s="7" t="e">
        <f t="shared" si="95"/>
        <v>#VALUE!</v>
      </c>
      <c r="AT92" s="7" t="e">
        <f t="shared" si="96"/>
        <v>#VALUE!</v>
      </c>
      <c r="AU92" s="7" t="e">
        <f t="shared" si="97"/>
        <v>#VALUE!</v>
      </c>
      <c r="AV92" s="7" t="e">
        <f t="shared" si="98"/>
        <v>#VALUE!</v>
      </c>
      <c r="AW92" s="7" t="e">
        <f t="shared" si="99"/>
        <v>#VALUE!</v>
      </c>
      <c r="AX92" s="7" t="e">
        <f t="shared" si="100"/>
        <v>#VALUE!</v>
      </c>
      <c r="AY92" s="7" t="e">
        <f t="shared" si="101"/>
        <v>#VALUE!</v>
      </c>
      <c r="AZ92" s="7" t="e">
        <f t="shared" si="102"/>
        <v>#VALUE!</v>
      </c>
      <c r="BA92" s="7"/>
    </row>
    <row r="93" spans="16:53" x14ac:dyDescent="0.25">
      <c r="P93">
        <f t="shared" si="106"/>
        <v>45</v>
      </c>
      <c r="Q93">
        <f t="shared" si="103"/>
        <v>1800</v>
      </c>
      <c r="R93" s="7">
        <f t="shared" si="71"/>
        <v>-11.592476891746337</v>
      </c>
      <c r="S93" s="7">
        <f t="shared" si="72"/>
        <v>-11.30696388759014</v>
      </c>
      <c r="T93" s="7">
        <f t="shared" si="73"/>
        <v>-12.016591899980959</v>
      </c>
      <c r="U93" s="7">
        <f t="shared" si="74"/>
        <v>-8.0316693996935555</v>
      </c>
      <c r="V93" s="7">
        <f t="shared" si="75"/>
        <v>-9.2918752403251688</v>
      </c>
      <c r="W93" s="7">
        <f t="shared" si="76"/>
        <v>-6.8203974929441884</v>
      </c>
      <c r="X93" s="7">
        <f t="shared" si="77"/>
        <v>-14.419910279977152</v>
      </c>
      <c r="Y93" s="7" t="e">
        <f t="shared" si="78"/>
        <v>#VALUE!</v>
      </c>
      <c r="Z93" s="7" t="e">
        <f t="shared" si="79"/>
        <v>#VALUE!</v>
      </c>
      <c r="AA93" s="7" t="e">
        <f t="shared" si="80"/>
        <v>#VALUE!</v>
      </c>
      <c r="AB93" s="7" t="e">
        <f t="shared" si="81"/>
        <v>#VALUE!</v>
      </c>
      <c r="AC93" s="7" t="e">
        <f t="shared" si="82"/>
        <v>#VALUE!</v>
      </c>
      <c r="AD93" s="7" t="e">
        <f t="shared" si="83"/>
        <v>#VALUE!</v>
      </c>
      <c r="AE93" s="7" t="e">
        <f t="shared" si="84"/>
        <v>#VALUE!</v>
      </c>
      <c r="AF93" s="7" t="e">
        <f t="shared" si="85"/>
        <v>#VALUE!</v>
      </c>
      <c r="AG93" s="7" t="e">
        <f t="shared" si="86"/>
        <v>#VALUE!</v>
      </c>
      <c r="AH93" s="7">
        <f t="shared" si="104"/>
        <v>28.647889756541161</v>
      </c>
      <c r="AJ93">
        <f t="shared" si="105"/>
        <v>1800</v>
      </c>
      <c r="AK93" s="7">
        <f t="shared" si="87"/>
        <v>0</v>
      </c>
      <c r="AL93" s="7">
        <f t="shared" si="88"/>
        <v>0.80769194062974181</v>
      </c>
      <c r="AM93" s="7">
        <f t="shared" si="89"/>
        <v>0</v>
      </c>
      <c r="AN93" s="7">
        <f t="shared" si="90"/>
        <v>5.6997605167107821</v>
      </c>
      <c r="AO93" s="7">
        <f t="shared" si="91"/>
        <v>0.90933777844933894</v>
      </c>
      <c r="AP93" s="7">
        <f t="shared" si="92"/>
        <v>7.9383767032946482</v>
      </c>
      <c r="AQ93" s="7">
        <f t="shared" si="93"/>
        <v>0</v>
      </c>
      <c r="AR93" s="7" t="e">
        <f t="shared" si="94"/>
        <v>#VALUE!</v>
      </c>
      <c r="AS93" s="7" t="e">
        <f t="shared" si="95"/>
        <v>#VALUE!</v>
      </c>
      <c r="AT93" s="7" t="e">
        <f t="shared" si="96"/>
        <v>#VALUE!</v>
      </c>
      <c r="AU93" s="7" t="e">
        <f t="shared" si="97"/>
        <v>#VALUE!</v>
      </c>
      <c r="AV93" s="7" t="e">
        <f t="shared" si="98"/>
        <v>#VALUE!</v>
      </c>
      <c r="AW93" s="7" t="e">
        <f t="shared" si="99"/>
        <v>#VALUE!</v>
      </c>
      <c r="AX93" s="7" t="e">
        <f t="shared" si="100"/>
        <v>#VALUE!</v>
      </c>
      <c r="AY93" s="7" t="e">
        <f t="shared" si="101"/>
        <v>#VALUE!</v>
      </c>
      <c r="AZ93" s="7" t="e">
        <f t="shared" si="102"/>
        <v>#VALUE!</v>
      </c>
      <c r="BA93" s="7"/>
    </row>
    <row r="94" spans="16:53" x14ac:dyDescent="0.25">
      <c r="P94">
        <f t="shared" si="106"/>
        <v>45.5</v>
      </c>
      <c r="Q94">
        <f t="shared" si="103"/>
        <v>1820</v>
      </c>
      <c r="R94" s="7">
        <f t="shared" si="71"/>
        <v>-11.592476891746337</v>
      </c>
      <c r="S94" s="7">
        <f t="shared" si="72"/>
        <v>-11.381838744006039</v>
      </c>
      <c r="T94" s="7">
        <f t="shared" si="73"/>
        <v>-12.016591899980959</v>
      </c>
      <c r="U94" s="7">
        <f t="shared" si="74"/>
        <v>-8.1127108894178352</v>
      </c>
      <c r="V94" s="7">
        <f t="shared" si="75"/>
        <v>-9.3989814322853356</v>
      </c>
      <c r="W94" s="7">
        <f t="shared" si="76"/>
        <v>-7.1203811007359894</v>
      </c>
      <c r="X94" s="7">
        <f t="shared" si="77"/>
        <v>-14.419910279977152</v>
      </c>
      <c r="Y94" s="7" t="e">
        <f t="shared" si="78"/>
        <v>#VALUE!</v>
      </c>
      <c r="Z94" s="7" t="e">
        <f t="shared" si="79"/>
        <v>#VALUE!</v>
      </c>
      <c r="AA94" s="7" t="e">
        <f t="shared" si="80"/>
        <v>#VALUE!</v>
      </c>
      <c r="AB94" s="7" t="e">
        <f t="shared" si="81"/>
        <v>#VALUE!</v>
      </c>
      <c r="AC94" s="7" t="e">
        <f t="shared" si="82"/>
        <v>#VALUE!</v>
      </c>
      <c r="AD94" s="7" t="e">
        <f t="shared" si="83"/>
        <v>#VALUE!</v>
      </c>
      <c r="AE94" s="7" t="e">
        <f t="shared" si="84"/>
        <v>#VALUE!</v>
      </c>
      <c r="AF94" s="7" t="e">
        <f t="shared" si="85"/>
        <v>#VALUE!</v>
      </c>
      <c r="AG94" s="7" t="e">
        <f t="shared" si="86"/>
        <v>#VALUE!</v>
      </c>
      <c r="AH94" s="7">
        <f t="shared" si="104"/>
        <v>28.647889756541161</v>
      </c>
      <c r="AJ94">
        <f t="shared" si="105"/>
        <v>1820</v>
      </c>
      <c r="AK94" s="7">
        <f t="shared" si="87"/>
        <v>0</v>
      </c>
      <c r="AL94" s="7">
        <f t="shared" si="88"/>
        <v>0.60240812054398196</v>
      </c>
      <c r="AM94" s="7">
        <f t="shared" si="89"/>
        <v>0</v>
      </c>
      <c r="AN94" s="7">
        <f t="shared" si="90"/>
        <v>5.5288041186975896</v>
      </c>
      <c r="AO94" s="7">
        <f t="shared" si="91"/>
        <v>0.61289183532807279</v>
      </c>
      <c r="AP94" s="7">
        <f t="shared" si="92"/>
        <v>7.1600068217276158</v>
      </c>
      <c r="AQ94" s="7">
        <f t="shared" si="93"/>
        <v>0</v>
      </c>
      <c r="AR94" s="7" t="e">
        <f t="shared" si="94"/>
        <v>#VALUE!</v>
      </c>
      <c r="AS94" s="7" t="e">
        <f t="shared" si="95"/>
        <v>#VALUE!</v>
      </c>
      <c r="AT94" s="7" t="e">
        <f t="shared" si="96"/>
        <v>#VALUE!</v>
      </c>
      <c r="AU94" s="7" t="e">
        <f t="shared" si="97"/>
        <v>#VALUE!</v>
      </c>
      <c r="AV94" s="7" t="e">
        <f t="shared" si="98"/>
        <v>#VALUE!</v>
      </c>
      <c r="AW94" s="7" t="e">
        <f t="shared" si="99"/>
        <v>#VALUE!</v>
      </c>
      <c r="AX94" s="7" t="e">
        <f t="shared" si="100"/>
        <v>#VALUE!</v>
      </c>
      <c r="AY94" s="7" t="e">
        <f t="shared" si="101"/>
        <v>#VALUE!</v>
      </c>
      <c r="AZ94" s="7" t="e">
        <f t="shared" si="102"/>
        <v>#VALUE!</v>
      </c>
      <c r="BA94" s="7"/>
    </row>
    <row r="95" spans="16:53" x14ac:dyDescent="0.25">
      <c r="P95">
        <f t="shared" si="106"/>
        <v>46</v>
      </c>
      <c r="Q95">
        <f t="shared" si="103"/>
        <v>1840</v>
      </c>
      <c r="R95" s="7">
        <f t="shared" si="71"/>
        <v>-11.592476891746337</v>
      </c>
      <c r="S95" s="7">
        <f t="shared" si="72"/>
        <v>-11.455106048822</v>
      </c>
      <c r="T95" s="7">
        <f t="shared" si="73"/>
        <v>-12.016591899980959</v>
      </c>
      <c r="U95" s="7">
        <f t="shared" si="74"/>
        <v>-8.1920142339320385</v>
      </c>
      <c r="V95" s="7">
        <f t="shared" si="75"/>
        <v>-9.5038057543591048</v>
      </c>
      <c r="W95" s="7">
        <f t="shared" si="76"/>
        <v>-7.4141423442406351</v>
      </c>
      <c r="X95" s="7">
        <f t="shared" si="77"/>
        <v>-14.419910279977152</v>
      </c>
      <c r="Y95" s="7" t="e">
        <f t="shared" si="78"/>
        <v>#VALUE!</v>
      </c>
      <c r="Z95" s="7" t="e">
        <f t="shared" si="79"/>
        <v>#VALUE!</v>
      </c>
      <c r="AA95" s="7" t="e">
        <f t="shared" si="80"/>
        <v>#VALUE!</v>
      </c>
      <c r="AB95" s="7" t="e">
        <f t="shared" si="81"/>
        <v>#VALUE!</v>
      </c>
      <c r="AC95" s="7" t="e">
        <f t="shared" si="82"/>
        <v>#VALUE!</v>
      </c>
      <c r="AD95" s="7" t="e">
        <f t="shared" si="83"/>
        <v>#VALUE!</v>
      </c>
      <c r="AE95" s="7" t="e">
        <f t="shared" si="84"/>
        <v>#VALUE!</v>
      </c>
      <c r="AF95" s="7" t="e">
        <f t="shared" si="85"/>
        <v>#VALUE!</v>
      </c>
      <c r="AG95" s="7" t="e">
        <f t="shared" si="86"/>
        <v>#VALUE!</v>
      </c>
      <c r="AH95" s="7">
        <f t="shared" si="104"/>
        <v>28.647889756541161</v>
      </c>
      <c r="AJ95">
        <f t="shared" si="105"/>
        <v>1840</v>
      </c>
      <c r="AK95" s="7">
        <f t="shared" si="87"/>
        <v>0</v>
      </c>
      <c r="AL95" s="7">
        <f t="shared" si="88"/>
        <v>0.39712988178908482</v>
      </c>
      <c r="AM95" s="7">
        <f t="shared" si="89"/>
        <v>0</v>
      </c>
      <c r="AN95" s="7">
        <f t="shared" si="90"/>
        <v>5.3579198167280682</v>
      </c>
      <c r="AO95" s="7">
        <f t="shared" si="91"/>
        <v>0.3164549043724621</v>
      </c>
      <c r="AP95" s="7">
        <f t="shared" si="92"/>
        <v>6.3818873507743064</v>
      </c>
      <c r="AQ95" s="7">
        <f t="shared" si="93"/>
        <v>0</v>
      </c>
      <c r="AR95" s="7" t="e">
        <f t="shared" si="94"/>
        <v>#VALUE!</v>
      </c>
      <c r="AS95" s="7" t="e">
        <f t="shared" si="95"/>
        <v>#VALUE!</v>
      </c>
      <c r="AT95" s="7" t="e">
        <f t="shared" si="96"/>
        <v>#VALUE!</v>
      </c>
      <c r="AU95" s="7" t="e">
        <f t="shared" si="97"/>
        <v>#VALUE!</v>
      </c>
      <c r="AV95" s="7" t="e">
        <f t="shared" si="98"/>
        <v>#VALUE!</v>
      </c>
      <c r="AW95" s="7" t="e">
        <f t="shared" si="99"/>
        <v>#VALUE!</v>
      </c>
      <c r="AX95" s="7" t="e">
        <f t="shared" si="100"/>
        <v>#VALUE!</v>
      </c>
      <c r="AY95" s="7" t="e">
        <f t="shared" si="101"/>
        <v>#VALUE!</v>
      </c>
      <c r="AZ95" s="7" t="e">
        <f t="shared" si="102"/>
        <v>#VALUE!</v>
      </c>
      <c r="BA95" s="7"/>
    </row>
    <row r="96" spans="16:53" x14ac:dyDescent="0.25">
      <c r="P96">
        <f t="shared" si="106"/>
        <v>46.5</v>
      </c>
      <c r="Q96">
        <f t="shared" si="103"/>
        <v>1860</v>
      </c>
      <c r="R96" s="7">
        <f t="shared" si="71"/>
        <v>-11.592476891746337</v>
      </c>
      <c r="S96" s="7">
        <f t="shared" si="72"/>
        <v>-11.52681702301158</v>
      </c>
      <c r="T96" s="7">
        <f t="shared" si="73"/>
        <v>-12.016591899980959</v>
      </c>
      <c r="U96" s="7">
        <f t="shared" si="74"/>
        <v>-8.2696347584961512</v>
      </c>
      <c r="V96" s="7">
        <f t="shared" si="75"/>
        <v>-9.6064203599189604</v>
      </c>
      <c r="W96" s="7">
        <f t="shared" si="76"/>
        <v>-7.7018728358774444</v>
      </c>
      <c r="X96" s="7">
        <f t="shared" si="77"/>
        <v>-14.419910279977152</v>
      </c>
      <c r="Y96" s="7" t="e">
        <f t="shared" si="78"/>
        <v>#VALUE!</v>
      </c>
      <c r="Z96" s="7" t="e">
        <f t="shared" si="79"/>
        <v>#VALUE!</v>
      </c>
      <c r="AA96" s="7" t="e">
        <f t="shared" si="80"/>
        <v>#VALUE!</v>
      </c>
      <c r="AB96" s="7" t="e">
        <f t="shared" si="81"/>
        <v>#VALUE!</v>
      </c>
      <c r="AC96" s="7" t="e">
        <f t="shared" si="82"/>
        <v>#VALUE!</v>
      </c>
      <c r="AD96" s="7" t="e">
        <f t="shared" si="83"/>
        <v>#VALUE!</v>
      </c>
      <c r="AE96" s="7" t="e">
        <f t="shared" si="84"/>
        <v>#VALUE!</v>
      </c>
      <c r="AF96" s="7" t="e">
        <f t="shared" si="85"/>
        <v>#VALUE!</v>
      </c>
      <c r="AG96" s="7" t="e">
        <f t="shared" si="86"/>
        <v>#VALUE!</v>
      </c>
      <c r="AH96" s="7">
        <f t="shared" si="104"/>
        <v>28.647889756541161</v>
      </c>
      <c r="AJ96">
        <f t="shared" si="105"/>
        <v>1860</v>
      </c>
      <c r="AK96" s="7">
        <f t="shared" si="87"/>
        <v>0</v>
      </c>
      <c r="AL96" s="7">
        <f t="shared" si="88"/>
        <v>0.19185517133692656</v>
      </c>
      <c r="AM96" s="7">
        <f t="shared" si="89"/>
        <v>0</v>
      </c>
      <c r="AN96" s="7">
        <f t="shared" si="90"/>
        <v>5.1871024401273225</v>
      </c>
      <c r="AO96" s="7">
        <f t="shared" si="91"/>
        <v>2.002244569306463E-2</v>
      </c>
      <c r="AP96" s="7">
        <f t="shared" si="92"/>
        <v>5.6039819972308296</v>
      </c>
      <c r="AQ96" s="7">
        <f t="shared" si="93"/>
        <v>0</v>
      </c>
      <c r="AR96" s="7" t="e">
        <f t="shared" si="94"/>
        <v>#VALUE!</v>
      </c>
      <c r="AS96" s="7" t="e">
        <f t="shared" si="95"/>
        <v>#VALUE!</v>
      </c>
      <c r="AT96" s="7" t="e">
        <f t="shared" si="96"/>
        <v>#VALUE!</v>
      </c>
      <c r="AU96" s="7" t="e">
        <f t="shared" si="97"/>
        <v>#VALUE!</v>
      </c>
      <c r="AV96" s="7" t="e">
        <f t="shared" si="98"/>
        <v>#VALUE!</v>
      </c>
      <c r="AW96" s="7" t="e">
        <f t="shared" si="99"/>
        <v>#VALUE!</v>
      </c>
      <c r="AX96" s="7" t="e">
        <f t="shared" si="100"/>
        <v>#VALUE!</v>
      </c>
      <c r="AY96" s="7" t="e">
        <f t="shared" si="101"/>
        <v>#VALUE!</v>
      </c>
      <c r="AZ96" s="7" t="e">
        <f t="shared" si="102"/>
        <v>#VALUE!</v>
      </c>
      <c r="BA96" s="7"/>
    </row>
    <row r="97" spans="16:53" x14ac:dyDescent="0.25">
      <c r="P97">
        <f t="shared" si="106"/>
        <v>47</v>
      </c>
      <c r="Q97">
        <f t="shared" si="103"/>
        <v>1880</v>
      </c>
      <c r="R97" s="7">
        <f t="shared" si="71"/>
        <v>-11.592476891746337</v>
      </c>
      <c r="S97" s="7">
        <f t="shared" si="72"/>
        <v>-11.592476891746337</v>
      </c>
      <c r="T97" s="7">
        <f t="shared" si="73"/>
        <v>-12.016591899980959</v>
      </c>
      <c r="U97" s="7">
        <f t="shared" si="74"/>
        <v>-8.3456254650128443</v>
      </c>
      <c r="V97" s="7">
        <f t="shared" si="75"/>
        <v>-9.6132735199847676</v>
      </c>
      <c r="W97" s="7">
        <f t="shared" si="76"/>
        <v>-7.9837564006129558</v>
      </c>
      <c r="X97" s="7">
        <f t="shared" si="77"/>
        <v>-14.419910279977152</v>
      </c>
      <c r="Y97" s="7" t="e">
        <f t="shared" si="78"/>
        <v>#VALUE!</v>
      </c>
      <c r="Z97" s="7" t="e">
        <f t="shared" si="79"/>
        <v>#VALUE!</v>
      </c>
      <c r="AA97" s="7" t="e">
        <f t="shared" si="80"/>
        <v>#VALUE!</v>
      </c>
      <c r="AB97" s="7" t="e">
        <f t="shared" si="81"/>
        <v>#VALUE!</v>
      </c>
      <c r="AC97" s="7" t="e">
        <f t="shared" si="82"/>
        <v>#VALUE!</v>
      </c>
      <c r="AD97" s="7" t="e">
        <f t="shared" si="83"/>
        <v>#VALUE!</v>
      </c>
      <c r="AE97" s="7" t="e">
        <f t="shared" si="84"/>
        <v>#VALUE!</v>
      </c>
      <c r="AF97" s="7" t="e">
        <f t="shared" si="85"/>
        <v>#VALUE!</v>
      </c>
      <c r="AG97" s="7" t="e">
        <f t="shared" si="86"/>
        <v>#VALUE!</v>
      </c>
      <c r="AH97" s="7">
        <f t="shared" si="104"/>
        <v>28.647889756541161</v>
      </c>
      <c r="AJ97">
        <f t="shared" si="105"/>
        <v>1880</v>
      </c>
      <c r="AK97" s="7">
        <f t="shared" si="87"/>
        <v>0</v>
      </c>
      <c r="AL97" s="7">
        <f t="shared" si="88"/>
        <v>0</v>
      </c>
      <c r="AM97" s="7">
        <f t="shared" si="89"/>
        <v>0</v>
      </c>
      <c r="AN97" s="7">
        <f t="shared" si="90"/>
        <v>5.0163471548625722</v>
      </c>
      <c r="AO97" s="7">
        <f t="shared" si="91"/>
        <v>0</v>
      </c>
      <c r="AP97" s="7">
        <f t="shared" si="92"/>
        <v>4.8262570927296222</v>
      </c>
      <c r="AQ97" s="7">
        <f t="shared" si="93"/>
        <v>0</v>
      </c>
      <c r="AR97" s="7" t="e">
        <f t="shared" si="94"/>
        <v>#VALUE!</v>
      </c>
      <c r="AS97" s="7" t="e">
        <f t="shared" si="95"/>
        <v>#VALUE!</v>
      </c>
      <c r="AT97" s="7" t="e">
        <f t="shared" si="96"/>
        <v>#VALUE!</v>
      </c>
      <c r="AU97" s="7" t="e">
        <f t="shared" si="97"/>
        <v>#VALUE!</v>
      </c>
      <c r="AV97" s="7" t="e">
        <f t="shared" si="98"/>
        <v>#VALUE!</v>
      </c>
      <c r="AW97" s="7" t="e">
        <f t="shared" si="99"/>
        <v>#VALUE!</v>
      </c>
      <c r="AX97" s="7" t="e">
        <f t="shared" si="100"/>
        <v>#VALUE!</v>
      </c>
      <c r="AY97" s="7" t="e">
        <f t="shared" si="101"/>
        <v>#VALUE!</v>
      </c>
      <c r="AZ97" s="7" t="e">
        <f t="shared" si="102"/>
        <v>#VALUE!</v>
      </c>
      <c r="BA97" s="7"/>
    </row>
    <row r="98" spans="16:53" x14ac:dyDescent="0.25">
      <c r="P98">
        <f t="shared" si="106"/>
        <v>47.5</v>
      </c>
      <c r="Q98">
        <f t="shared" si="103"/>
        <v>1900</v>
      </c>
      <c r="R98" s="7">
        <f t="shared" si="71"/>
        <v>-11.592476891746337</v>
      </c>
      <c r="S98" s="7">
        <f t="shared" si="72"/>
        <v>-11.592476891746337</v>
      </c>
      <c r="T98" s="7">
        <f t="shared" si="73"/>
        <v>-12.016591899980959</v>
      </c>
      <c r="U98" s="7">
        <f t="shared" si="74"/>
        <v>-8.4200371527206652</v>
      </c>
      <c r="V98" s="7">
        <f t="shared" si="75"/>
        <v>-9.6132735199847676</v>
      </c>
      <c r="W98" s="7">
        <f t="shared" si="76"/>
        <v>-8.259969467600758</v>
      </c>
      <c r="X98" s="7">
        <f t="shared" si="77"/>
        <v>-14.419910279977152</v>
      </c>
      <c r="Y98" s="7" t="e">
        <f t="shared" si="78"/>
        <v>#VALUE!</v>
      </c>
      <c r="Z98" s="7" t="e">
        <f t="shared" si="79"/>
        <v>#VALUE!</v>
      </c>
      <c r="AA98" s="7" t="e">
        <f t="shared" si="80"/>
        <v>#VALUE!</v>
      </c>
      <c r="AB98" s="7" t="e">
        <f t="shared" si="81"/>
        <v>#VALUE!</v>
      </c>
      <c r="AC98" s="7" t="e">
        <f t="shared" si="82"/>
        <v>#VALUE!</v>
      </c>
      <c r="AD98" s="7" t="e">
        <f t="shared" si="83"/>
        <v>#VALUE!</v>
      </c>
      <c r="AE98" s="7" t="e">
        <f t="shared" si="84"/>
        <v>#VALUE!</v>
      </c>
      <c r="AF98" s="7" t="e">
        <f t="shared" si="85"/>
        <v>#VALUE!</v>
      </c>
      <c r="AG98" s="7" t="e">
        <f t="shared" si="86"/>
        <v>#VALUE!</v>
      </c>
      <c r="AH98" s="7">
        <f t="shared" si="104"/>
        <v>28.647889756541161</v>
      </c>
      <c r="AJ98">
        <f t="shared" si="105"/>
        <v>1900</v>
      </c>
      <c r="AK98" s="7">
        <f t="shared" si="87"/>
        <v>0</v>
      </c>
      <c r="AL98" s="7">
        <f t="shared" si="88"/>
        <v>0</v>
      </c>
      <c r="AM98" s="7">
        <f t="shared" si="89"/>
        <v>0</v>
      </c>
      <c r="AN98" s="7">
        <f t="shared" si="90"/>
        <v>4.8456494399120063</v>
      </c>
      <c r="AO98" s="7">
        <f t="shared" si="91"/>
        <v>0</v>
      </c>
      <c r="AP98" s="7">
        <f t="shared" si="92"/>
        <v>4.0486814044893702</v>
      </c>
      <c r="AQ98" s="7">
        <f t="shared" si="93"/>
        <v>0</v>
      </c>
      <c r="AR98" s="7" t="e">
        <f t="shared" si="94"/>
        <v>#VALUE!</v>
      </c>
      <c r="AS98" s="7" t="e">
        <f t="shared" si="95"/>
        <v>#VALUE!</v>
      </c>
      <c r="AT98" s="7" t="e">
        <f t="shared" si="96"/>
        <v>#VALUE!</v>
      </c>
      <c r="AU98" s="7" t="e">
        <f t="shared" si="97"/>
        <v>#VALUE!</v>
      </c>
      <c r="AV98" s="7" t="e">
        <f t="shared" si="98"/>
        <v>#VALUE!</v>
      </c>
      <c r="AW98" s="7" t="e">
        <f t="shared" si="99"/>
        <v>#VALUE!</v>
      </c>
      <c r="AX98" s="7" t="e">
        <f t="shared" si="100"/>
        <v>#VALUE!</v>
      </c>
      <c r="AY98" s="7" t="e">
        <f t="shared" si="101"/>
        <v>#VALUE!</v>
      </c>
      <c r="AZ98" s="7" t="e">
        <f t="shared" si="102"/>
        <v>#VALUE!</v>
      </c>
      <c r="BA98" s="7"/>
    </row>
    <row r="99" spans="16:53" x14ac:dyDescent="0.25">
      <c r="P99">
        <f t="shared" si="106"/>
        <v>48</v>
      </c>
      <c r="Q99">
        <f t="shared" si="103"/>
        <v>1920</v>
      </c>
      <c r="R99" s="7">
        <f t="shared" si="71"/>
        <v>-11.592476891746337</v>
      </c>
      <c r="S99" s="7">
        <f t="shared" si="72"/>
        <v>-11.592476891746337</v>
      </c>
      <c r="T99" s="7">
        <f t="shared" si="73"/>
        <v>-12.016591899980959</v>
      </c>
      <c r="U99" s="7">
        <f t="shared" si="74"/>
        <v>-8.4929185314409334</v>
      </c>
      <c r="V99" s="7">
        <f t="shared" si="75"/>
        <v>-9.6132735199847676</v>
      </c>
      <c r="W99" s="7">
        <f t="shared" si="76"/>
        <v>-8.53068143842148</v>
      </c>
      <c r="X99" s="7">
        <f t="shared" si="77"/>
        <v>-14.419910279977152</v>
      </c>
      <c r="Y99" s="7" t="e">
        <f t="shared" si="78"/>
        <v>#VALUE!</v>
      </c>
      <c r="Z99" s="7" t="e">
        <f t="shared" si="79"/>
        <v>#VALUE!</v>
      </c>
      <c r="AA99" s="7" t="e">
        <f t="shared" si="80"/>
        <v>#VALUE!</v>
      </c>
      <c r="AB99" s="7" t="e">
        <f t="shared" si="81"/>
        <v>#VALUE!</v>
      </c>
      <c r="AC99" s="7" t="e">
        <f t="shared" si="82"/>
        <v>#VALUE!</v>
      </c>
      <c r="AD99" s="7" t="e">
        <f t="shared" si="83"/>
        <v>#VALUE!</v>
      </c>
      <c r="AE99" s="7" t="e">
        <f t="shared" si="84"/>
        <v>#VALUE!</v>
      </c>
      <c r="AF99" s="7" t="e">
        <f t="shared" si="85"/>
        <v>#VALUE!</v>
      </c>
      <c r="AG99" s="7" t="e">
        <f t="shared" si="86"/>
        <v>#VALUE!</v>
      </c>
      <c r="AH99" s="7">
        <f t="shared" si="104"/>
        <v>28.647889756541161</v>
      </c>
      <c r="AJ99">
        <f t="shared" si="105"/>
        <v>1920</v>
      </c>
      <c r="AK99" s="7">
        <f t="shared" si="87"/>
        <v>0</v>
      </c>
      <c r="AL99" s="7">
        <f t="shared" si="88"/>
        <v>0</v>
      </c>
      <c r="AM99" s="7">
        <f t="shared" si="89"/>
        <v>0</v>
      </c>
      <c r="AN99" s="7">
        <f t="shared" si="90"/>
        <v>4.6750050654666557</v>
      </c>
      <c r="AO99" s="7">
        <f t="shared" si="91"/>
        <v>0</v>
      </c>
      <c r="AP99" s="7">
        <f t="shared" si="92"/>
        <v>3.2712259607584855</v>
      </c>
      <c r="AQ99" s="7">
        <f t="shared" si="93"/>
        <v>0</v>
      </c>
      <c r="AR99" s="7" t="e">
        <f t="shared" si="94"/>
        <v>#VALUE!</v>
      </c>
      <c r="AS99" s="7" t="e">
        <f t="shared" si="95"/>
        <v>#VALUE!</v>
      </c>
      <c r="AT99" s="7" t="e">
        <f t="shared" si="96"/>
        <v>#VALUE!</v>
      </c>
      <c r="AU99" s="7" t="e">
        <f t="shared" si="97"/>
        <v>#VALUE!</v>
      </c>
      <c r="AV99" s="7" t="e">
        <f t="shared" si="98"/>
        <v>#VALUE!</v>
      </c>
      <c r="AW99" s="7" t="e">
        <f t="shared" si="99"/>
        <v>#VALUE!</v>
      </c>
      <c r="AX99" s="7" t="e">
        <f t="shared" si="100"/>
        <v>#VALUE!</v>
      </c>
      <c r="AY99" s="7" t="e">
        <f t="shared" si="101"/>
        <v>#VALUE!</v>
      </c>
      <c r="AZ99" s="7" t="e">
        <f t="shared" si="102"/>
        <v>#VALUE!</v>
      </c>
      <c r="BA99" s="7"/>
    </row>
    <row r="100" spans="16:53" x14ac:dyDescent="0.25">
      <c r="P100">
        <f t="shared" si="106"/>
        <v>48.5</v>
      </c>
      <c r="Q100">
        <f t="shared" si="103"/>
        <v>1940</v>
      </c>
      <c r="R100" s="7">
        <f t="shared" si="71"/>
        <v>-11.592476891746337</v>
      </c>
      <c r="S100" s="7">
        <f t="shared" si="72"/>
        <v>-11.592476891746337</v>
      </c>
      <c r="T100" s="7">
        <f t="shared" si="73"/>
        <v>-12.016591899980959</v>
      </c>
      <c r="U100" s="7">
        <f t="shared" si="74"/>
        <v>-8.5643163279088093</v>
      </c>
      <c r="V100" s="7">
        <f t="shared" si="75"/>
        <v>-9.6132735199847676</v>
      </c>
      <c r="W100" s="7">
        <f t="shared" si="76"/>
        <v>-8.796055033537959</v>
      </c>
      <c r="X100" s="7">
        <f t="shared" si="77"/>
        <v>-14.419910279977152</v>
      </c>
      <c r="Y100" s="7" t="e">
        <f t="shared" si="78"/>
        <v>#VALUE!</v>
      </c>
      <c r="Z100" s="7" t="e">
        <f t="shared" si="79"/>
        <v>#VALUE!</v>
      </c>
      <c r="AA100" s="7" t="e">
        <f t="shared" si="80"/>
        <v>#VALUE!</v>
      </c>
      <c r="AB100" s="7" t="e">
        <f t="shared" si="81"/>
        <v>#VALUE!</v>
      </c>
      <c r="AC100" s="7" t="e">
        <f t="shared" si="82"/>
        <v>#VALUE!</v>
      </c>
      <c r="AD100" s="7" t="e">
        <f t="shared" si="83"/>
        <v>#VALUE!</v>
      </c>
      <c r="AE100" s="7" t="e">
        <f t="shared" si="84"/>
        <v>#VALUE!</v>
      </c>
      <c r="AF100" s="7" t="e">
        <f t="shared" si="85"/>
        <v>#VALUE!</v>
      </c>
      <c r="AG100" s="7" t="e">
        <f t="shared" si="86"/>
        <v>#VALUE!</v>
      </c>
      <c r="AH100" s="7">
        <f t="shared" si="104"/>
        <v>28.647889756541161</v>
      </c>
      <c r="AJ100">
        <f t="shared" si="105"/>
        <v>1940</v>
      </c>
      <c r="AK100" s="7">
        <f t="shared" si="87"/>
        <v>0</v>
      </c>
      <c r="AL100" s="7">
        <f t="shared" si="88"/>
        <v>0</v>
      </c>
      <c r="AM100" s="7">
        <f t="shared" si="89"/>
        <v>0</v>
      </c>
      <c r="AN100" s="7">
        <f t="shared" si="90"/>
        <v>4.5044100728083549</v>
      </c>
      <c r="AO100" s="7">
        <f t="shared" si="91"/>
        <v>0</v>
      </c>
      <c r="AP100" s="7">
        <f t="shared" si="92"/>
        <v>2.4938638897066396</v>
      </c>
      <c r="AQ100" s="7">
        <f t="shared" si="93"/>
        <v>0</v>
      </c>
      <c r="AR100" s="7" t="e">
        <f t="shared" si="94"/>
        <v>#VALUE!</v>
      </c>
      <c r="AS100" s="7" t="e">
        <f t="shared" si="95"/>
        <v>#VALUE!</v>
      </c>
      <c r="AT100" s="7" t="e">
        <f t="shared" si="96"/>
        <v>#VALUE!</v>
      </c>
      <c r="AU100" s="7" t="e">
        <f t="shared" si="97"/>
        <v>#VALUE!</v>
      </c>
      <c r="AV100" s="7" t="e">
        <f t="shared" si="98"/>
        <v>#VALUE!</v>
      </c>
      <c r="AW100" s="7" t="e">
        <f t="shared" si="99"/>
        <v>#VALUE!</v>
      </c>
      <c r="AX100" s="7" t="e">
        <f t="shared" si="100"/>
        <v>#VALUE!</v>
      </c>
      <c r="AY100" s="7" t="e">
        <f t="shared" si="101"/>
        <v>#VALUE!</v>
      </c>
      <c r="AZ100" s="7" t="e">
        <f t="shared" si="102"/>
        <v>#VALUE!</v>
      </c>
      <c r="BA100" s="7"/>
    </row>
    <row r="101" spans="16:53" x14ac:dyDescent="0.25">
      <c r="P101">
        <f t="shared" si="106"/>
        <v>49</v>
      </c>
      <c r="Q101">
        <f t="shared" si="103"/>
        <v>1960</v>
      </c>
      <c r="R101" s="7">
        <f t="shared" si="71"/>
        <v>-11.592476891746337</v>
      </c>
      <c r="S101" s="7">
        <f t="shared" si="72"/>
        <v>-11.592476891746337</v>
      </c>
      <c r="T101" s="7">
        <f t="shared" si="73"/>
        <v>-12.016591899980959</v>
      </c>
      <c r="U101" s="7">
        <f t="shared" si="74"/>
        <v>-8.6342753856763483</v>
      </c>
      <c r="V101" s="7">
        <f t="shared" si="75"/>
        <v>-9.6132735199847676</v>
      </c>
      <c r="W101" s="7">
        <f t="shared" si="76"/>
        <v>-9.0562466184544874</v>
      </c>
      <c r="X101" s="7">
        <f t="shared" si="77"/>
        <v>-14.419910279977152</v>
      </c>
      <c r="Y101" s="7" t="e">
        <f t="shared" si="78"/>
        <v>#VALUE!</v>
      </c>
      <c r="Z101" s="7" t="e">
        <f t="shared" si="79"/>
        <v>#VALUE!</v>
      </c>
      <c r="AA101" s="7" t="e">
        <f t="shared" si="80"/>
        <v>#VALUE!</v>
      </c>
      <c r="AB101" s="7" t="e">
        <f t="shared" si="81"/>
        <v>#VALUE!</v>
      </c>
      <c r="AC101" s="7" t="e">
        <f t="shared" si="82"/>
        <v>#VALUE!</v>
      </c>
      <c r="AD101" s="7" t="e">
        <f t="shared" si="83"/>
        <v>#VALUE!</v>
      </c>
      <c r="AE101" s="7" t="e">
        <f t="shared" si="84"/>
        <v>#VALUE!</v>
      </c>
      <c r="AF101" s="7" t="e">
        <f t="shared" si="85"/>
        <v>#VALUE!</v>
      </c>
      <c r="AG101" s="7" t="e">
        <f t="shared" si="86"/>
        <v>#VALUE!</v>
      </c>
      <c r="AH101" s="7">
        <f t="shared" si="104"/>
        <v>28.647889756541161</v>
      </c>
      <c r="AJ101">
        <f t="shared" si="105"/>
        <v>1960</v>
      </c>
      <c r="AK101" s="7">
        <f t="shared" si="87"/>
        <v>0</v>
      </c>
      <c r="AL101" s="7">
        <f t="shared" si="88"/>
        <v>0</v>
      </c>
      <c r="AM101" s="7">
        <f t="shared" si="89"/>
        <v>0</v>
      </c>
      <c r="AN101" s="7">
        <f t="shared" si="90"/>
        <v>4.3338607557213988</v>
      </c>
      <c r="AO101" s="7">
        <f t="shared" si="91"/>
        <v>0</v>
      </c>
      <c r="AP101" s="7">
        <f t="shared" si="92"/>
        <v>1.716570270633937</v>
      </c>
      <c r="AQ101" s="7">
        <f t="shared" si="93"/>
        <v>0</v>
      </c>
      <c r="AR101" s="7" t="e">
        <f t="shared" si="94"/>
        <v>#VALUE!</v>
      </c>
      <c r="AS101" s="7" t="e">
        <f t="shared" si="95"/>
        <v>#VALUE!</v>
      </c>
      <c r="AT101" s="7" t="e">
        <f t="shared" si="96"/>
        <v>#VALUE!</v>
      </c>
      <c r="AU101" s="7" t="e">
        <f t="shared" si="97"/>
        <v>#VALUE!</v>
      </c>
      <c r="AV101" s="7" t="e">
        <f t="shared" si="98"/>
        <v>#VALUE!</v>
      </c>
      <c r="AW101" s="7" t="e">
        <f t="shared" si="99"/>
        <v>#VALUE!</v>
      </c>
      <c r="AX101" s="7" t="e">
        <f t="shared" si="100"/>
        <v>#VALUE!</v>
      </c>
      <c r="AY101" s="7" t="e">
        <f t="shared" si="101"/>
        <v>#VALUE!</v>
      </c>
      <c r="AZ101" s="7" t="e">
        <f t="shared" si="102"/>
        <v>#VALUE!</v>
      </c>
      <c r="BA101" s="7"/>
    </row>
    <row r="102" spans="16:53" x14ac:dyDescent="0.25">
      <c r="P102">
        <f t="shared" si="106"/>
        <v>49.5</v>
      </c>
      <c r="Q102">
        <f t="shared" si="103"/>
        <v>1980</v>
      </c>
      <c r="R102" s="7">
        <f t="shared" si="71"/>
        <v>-11.592476891746337</v>
      </c>
      <c r="S102" s="7">
        <f t="shared" si="72"/>
        <v>-11.592476891746337</v>
      </c>
      <c r="T102" s="7">
        <f t="shared" si="73"/>
        <v>-12.016591899980959</v>
      </c>
      <c r="U102" s="7">
        <f t="shared" si="74"/>
        <v>-8.7028387590363359</v>
      </c>
      <c r="V102" s="7">
        <f t="shared" si="75"/>
        <v>-9.6132735199847676</v>
      </c>
      <c r="W102" s="7">
        <f t="shared" si="76"/>
        <v>-9.3114065109538444</v>
      </c>
      <c r="X102" s="7">
        <f t="shared" si="77"/>
        <v>-14.419910279977152</v>
      </c>
      <c r="Y102" s="7" t="e">
        <f t="shared" si="78"/>
        <v>#VALUE!</v>
      </c>
      <c r="Z102" s="7" t="e">
        <f t="shared" si="79"/>
        <v>#VALUE!</v>
      </c>
      <c r="AA102" s="7" t="e">
        <f t="shared" si="80"/>
        <v>#VALUE!</v>
      </c>
      <c r="AB102" s="7" t="e">
        <f t="shared" si="81"/>
        <v>#VALUE!</v>
      </c>
      <c r="AC102" s="7" t="e">
        <f t="shared" si="82"/>
        <v>#VALUE!</v>
      </c>
      <c r="AD102" s="7" t="e">
        <f t="shared" si="83"/>
        <v>#VALUE!</v>
      </c>
      <c r="AE102" s="7" t="e">
        <f t="shared" si="84"/>
        <v>#VALUE!</v>
      </c>
      <c r="AF102" s="7" t="e">
        <f t="shared" si="85"/>
        <v>#VALUE!</v>
      </c>
      <c r="AG102" s="7" t="e">
        <f t="shared" si="86"/>
        <v>#VALUE!</v>
      </c>
      <c r="AH102" s="7">
        <f t="shared" si="104"/>
        <v>28.647889756541161</v>
      </c>
      <c r="AJ102">
        <f t="shared" si="105"/>
        <v>1980</v>
      </c>
      <c r="AK102" s="7">
        <f t="shared" si="87"/>
        <v>0</v>
      </c>
      <c r="AL102" s="7">
        <f t="shared" si="88"/>
        <v>0</v>
      </c>
      <c r="AM102" s="7">
        <f t="shared" si="89"/>
        <v>0</v>
      </c>
      <c r="AN102" s="7">
        <f t="shared" si="90"/>
        <v>4.1633536433089375</v>
      </c>
      <c r="AO102" s="7">
        <f t="shared" si="91"/>
        <v>0</v>
      </c>
      <c r="AP102" s="7">
        <f t="shared" si="92"/>
        <v>0.93932199647103876</v>
      </c>
      <c r="AQ102" s="7">
        <f t="shared" si="93"/>
        <v>0</v>
      </c>
      <c r="AR102" s="7" t="e">
        <f t="shared" si="94"/>
        <v>#VALUE!</v>
      </c>
      <c r="AS102" s="7" t="e">
        <f t="shared" si="95"/>
        <v>#VALUE!</v>
      </c>
      <c r="AT102" s="7" t="e">
        <f t="shared" si="96"/>
        <v>#VALUE!</v>
      </c>
      <c r="AU102" s="7" t="e">
        <f t="shared" si="97"/>
        <v>#VALUE!</v>
      </c>
      <c r="AV102" s="7" t="e">
        <f t="shared" si="98"/>
        <v>#VALUE!</v>
      </c>
      <c r="AW102" s="7" t="e">
        <f t="shared" si="99"/>
        <v>#VALUE!</v>
      </c>
      <c r="AX102" s="7" t="e">
        <f t="shared" si="100"/>
        <v>#VALUE!</v>
      </c>
      <c r="AY102" s="7" t="e">
        <f t="shared" si="101"/>
        <v>#VALUE!</v>
      </c>
      <c r="AZ102" s="7" t="e">
        <f t="shared" si="102"/>
        <v>#VALUE!</v>
      </c>
      <c r="BA102" s="7"/>
    </row>
    <row r="103" spans="16:53" x14ac:dyDescent="0.25">
      <c r="P103" s="7"/>
    </row>
    <row r="104" spans="16:53" x14ac:dyDescent="0.25">
      <c r="P104" s="7"/>
    </row>
    <row r="105" spans="16:53" x14ac:dyDescent="0.25">
      <c r="P105" s="7"/>
    </row>
    <row r="106" spans="16:53" x14ac:dyDescent="0.25">
      <c r="P106" s="7"/>
    </row>
    <row r="107" spans="16:53" x14ac:dyDescent="0.25">
      <c r="P107" s="7"/>
    </row>
    <row r="108" spans="16:53" x14ac:dyDescent="0.25">
      <c r="P108" s="7"/>
    </row>
    <row r="109" spans="16:53" x14ac:dyDescent="0.25">
      <c r="P109" s="7"/>
    </row>
    <row r="110" spans="16:53" x14ac:dyDescent="0.25">
      <c r="P110" s="7"/>
    </row>
    <row r="111" spans="16:53" x14ac:dyDescent="0.25">
      <c r="P111" s="7"/>
    </row>
    <row r="112" spans="16:53" x14ac:dyDescent="0.25">
      <c r="P112" s="7"/>
    </row>
    <row r="113" spans="16:16" x14ac:dyDescent="0.25">
      <c r="P113" s="7"/>
    </row>
    <row r="114" spans="16:16" x14ac:dyDescent="0.25">
      <c r="P114" s="7"/>
    </row>
    <row r="115" spans="16:16" x14ac:dyDescent="0.25">
      <c r="P115" s="7"/>
    </row>
    <row r="116" spans="16:16" x14ac:dyDescent="0.25">
      <c r="P116" s="7"/>
    </row>
    <row r="117" spans="16:16" x14ac:dyDescent="0.25">
      <c r="P117" s="7"/>
    </row>
    <row r="118" spans="16:16" x14ac:dyDescent="0.25">
      <c r="P118" s="7"/>
    </row>
    <row r="119" spans="16:16" x14ac:dyDescent="0.25">
      <c r="P119" s="7"/>
    </row>
    <row r="120" spans="16:16" x14ac:dyDescent="0.25">
      <c r="P120" s="7"/>
    </row>
    <row r="121" spans="16:16" x14ac:dyDescent="0.25">
      <c r="P121" s="7"/>
    </row>
    <row r="122" spans="16:16" x14ac:dyDescent="0.25">
      <c r="P122" s="7"/>
    </row>
    <row r="123" spans="16:16" x14ac:dyDescent="0.25">
      <c r="P123" s="7"/>
    </row>
    <row r="124" spans="16:16" x14ac:dyDescent="0.25">
      <c r="P124" s="7"/>
    </row>
    <row r="125" spans="16:16" x14ac:dyDescent="0.25">
      <c r="P125" s="7"/>
    </row>
    <row r="126" spans="16:16" x14ac:dyDescent="0.25">
      <c r="P126" s="7"/>
    </row>
    <row r="127" spans="16:16" x14ac:dyDescent="0.25">
      <c r="P127" s="7"/>
    </row>
    <row r="128" spans="16:16" x14ac:dyDescent="0.25">
      <c r="P128" s="7"/>
    </row>
    <row r="129" spans="3:16" x14ac:dyDescent="0.25">
      <c r="P129" s="7"/>
    </row>
    <row r="130" spans="3:16" x14ac:dyDescent="0.25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3:16" x14ac:dyDescent="0.25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3:16" x14ac:dyDescent="0.25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3:16" x14ac:dyDescent="0.25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3:16" x14ac:dyDescent="0.25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3:16" x14ac:dyDescent="0.25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3:16" x14ac:dyDescent="0.25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3:16" x14ac:dyDescent="0.25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3:16" x14ac:dyDescent="0.25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3:16" x14ac:dyDescent="0.25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3:16" x14ac:dyDescent="0.25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3:16" x14ac:dyDescent="0.25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3:16" x14ac:dyDescent="0.25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3:16" x14ac:dyDescent="0.25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3:16" x14ac:dyDescent="0.25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3:15" x14ac:dyDescent="0.25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3:15" x14ac:dyDescent="0.25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3:15" x14ac:dyDescent="0.25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3:15" x14ac:dyDescent="0.25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3:15" x14ac:dyDescent="0.25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3:15" x14ac:dyDescent="0.25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3:15" x14ac:dyDescent="0.25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3:15" x14ac:dyDescent="0.25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3:15" x14ac:dyDescent="0.25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3:15" x14ac:dyDescent="0.25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3:15" x14ac:dyDescent="0.25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3:15" x14ac:dyDescent="0.25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3:15" x14ac:dyDescent="0.25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3:15" x14ac:dyDescent="0.25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3:15" x14ac:dyDescent="0.25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3:15" x14ac:dyDescent="0.25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3:15" x14ac:dyDescent="0.25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3:15" x14ac:dyDescent="0.25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3:15" x14ac:dyDescent="0.25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3:15" x14ac:dyDescent="0.25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3:15" x14ac:dyDescent="0.25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3:15" x14ac:dyDescent="0.25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3:15" x14ac:dyDescent="0.25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3:15" x14ac:dyDescent="0.25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</sheetData>
  <phoneticPr fontId="2" type="noConversion"/>
  <conditionalFormatting sqref="D2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2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2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2:L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6967C-CC0E-FC42-AD47-3A96DBAC4194}">
          <x14:formula1>
            <xm:f>Database!$A$3:$A$300</xm:f>
          </x14:formula1>
          <xm:sqref>C41:C56 E41:E48 C23:C38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F4E2-11A4-BE4A-ABD9-7C2A176C800D}">
  <sheetPr codeName="Sheet18"/>
  <dimension ref="A2:P40"/>
  <sheetViews>
    <sheetView workbookViewId="0">
      <selection activeCell="I30" sqref="I30"/>
    </sheetView>
  </sheetViews>
  <sheetFormatPr defaultColWidth="11.42578125" defaultRowHeight="15" x14ac:dyDescent="0.25"/>
  <cols>
    <col min="1" max="1" width="27.7109375" bestFit="1" customWidth="1"/>
    <col min="2" max="2" width="7.42578125" style="4" bestFit="1" customWidth="1"/>
    <col min="3" max="3" width="23.85546875" style="4" bestFit="1" customWidth="1"/>
    <col min="4" max="4" width="6" style="4" bestFit="1" customWidth="1"/>
    <col min="5" max="11" width="8.7109375" style="4" customWidth="1"/>
    <col min="12" max="12" width="11.42578125" style="4" bestFit="1" customWidth="1"/>
    <col min="13" max="13" width="6.85546875" bestFit="1" customWidth="1"/>
    <col min="14" max="14" width="7" bestFit="1" customWidth="1"/>
    <col min="16" max="16" width="10.85546875" style="2"/>
  </cols>
  <sheetData>
    <row r="2" spans="1:15" ht="45" x14ac:dyDescent="0.25">
      <c r="B2" s="5" t="s">
        <v>13</v>
      </c>
      <c r="C2" s="5" t="s">
        <v>2</v>
      </c>
      <c r="D2" s="5" t="s">
        <v>11</v>
      </c>
      <c r="E2" s="5" t="s">
        <v>71</v>
      </c>
      <c r="F2" s="5" t="s">
        <v>72</v>
      </c>
      <c r="G2" s="5" t="s">
        <v>73</v>
      </c>
      <c r="H2" s="5" t="s">
        <v>74</v>
      </c>
      <c r="I2" s="5" t="s">
        <v>0</v>
      </c>
      <c r="J2" s="5" t="s">
        <v>75</v>
      </c>
      <c r="K2" s="5" t="s">
        <v>8</v>
      </c>
      <c r="L2" s="5" t="s">
        <v>105</v>
      </c>
      <c r="M2" s="6"/>
      <c r="N2" s="6"/>
    </row>
    <row r="3" spans="1:15" x14ac:dyDescent="0.25">
      <c r="A3" t="str">
        <f t="shared" ref="A3:A40" si="0">CONCATENATE(B3,"-",C3)</f>
        <v>LDO-35STH26-0404AH(VRN)</v>
      </c>
      <c r="B3" s="4" t="s">
        <v>15</v>
      </c>
      <c r="C3" s="4" t="s">
        <v>103</v>
      </c>
    </row>
    <row r="4" spans="1:15" x14ac:dyDescent="0.25">
      <c r="A4" t="str">
        <f t="shared" si="0"/>
        <v>LDO-35STH42-0504AH(VRN)</v>
      </c>
      <c r="B4" s="4" t="s">
        <v>15</v>
      </c>
      <c r="C4" s="4" t="s">
        <v>104</v>
      </c>
    </row>
    <row r="5" spans="1:15" x14ac:dyDescent="0.25">
      <c r="A5" t="str">
        <f t="shared" si="0"/>
        <v>LDO-35STH48-1684AHVRN</v>
      </c>
      <c r="B5" s="4" t="s">
        <v>15</v>
      </c>
      <c r="C5" s="4" t="s">
        <v>100</v>
      </c>
      <c r="D5" s="4">
        <v>14</v>
      </c>
      <c r="E5" s="4">
        <v>48</v>
      </c>
      <c r="F5" s="4">
        <v>1.8</v>
      </c>
      <c r="G5" s="4">
        <v>1.68</v>
      </c>
      <c r="H5" s="4">
        <v>40</v>
      </c>
      <c r="I5" s="4">
        <v>2.8</v>
      </c>
      <c r="J5" s="4">
        <v>1.65</v>
      </c>
      <c r="K5" s="4">
        <v>49</v>
      </c>
      <c r="L5" s="4" t="s">
        <v>142</v>
      </c>
      <c r="N5">
        <v>0.7</v>
      </c>
      <c r="O5">
        <f>N5^2*J5</f>
        <v>0.80849999999999989</v>
      </c>
    </row>
    <row r="6" spans="1:15" x14ac:dyDescent="0.25">
      <c r="A6" t="str">
        <f t="shared" si="0"/>
        <v>LDO-42STH20-1004ASH</v>
      </c>
      <c r="B6" s="4" t="s">
        <v>15</v>
      </c>
      <c r="C6" s="4" t="s">
        <v>106</v>
      </c>
      <c r="D6" s="4">
        <v>17</v>
      </c>
      <c r="E6" s="4">
        <v>20</v>
      </c>
      <c r="F6" s="4">
        <v>1.8</v>
      </c>
      <c r="G6" s="4">
        <v>1</v>
      </c>
      <c r="H6" s="4">
        <v>18</v>
      </c>
      <c r="I6" s="4">
        <v>7</v>
      </c>
      <c r="J6" s="4">
        <v>7.2</v>
      </c>
      <c r="K6" s="4">
        <v>21.4</v>
      </c>
      <c r="M6" t="s">
        <v>107</v>
      </c>
    </row>
    <row r="7" spans="1:15" x14ac:dyDescent="0.25">
      <c r="A7" t="str">
        <f t="shared" si="0"/>
        <v>LDO-42STH38-1684MAC</v>
      </c>
      <c r="B7" s="12" t="s">
        <v>15</v>
      </c>
      <c r="C7" s="12" t="s">
        <v>25</v>
      </c>
      <c r="D7" s="10">
        <v>17</v>
      </c>
      <c r="E7" s="12">
        <v>40</v>
      </c>
      <c r="F7" s="12">
        <v>0.9</v>
      </c>
      <c r="G7" s="12">
        <v>1.68</v>
      </c>
      <c r="H7" s="12">
        <v>32</v>
      </c>
      <c r="I7" s="12">
        <v>3.2</v>
      </c>
      <c r="J7" s="12">
        <v>1.65</v>
      </c>
      <c r="K7" s="12">
        <v>54</v>
      </c>
      <c r="L7" s="12"/>
      <c r="M7" s="11" t="s">
        <v>86</v>
      </c>
    </row>
    <row r="8" spans="1:15" x14ac:dyDescent="0.25">
      <c r="A8" t="str">
        <f t="shared" si="0"/>
        <v>LDO-42STH40-1004MAH</v>
      </c>
      <c r="B8" s="4" t="s">
        <v>15</v>
      </c>
      <c r="C8" s="4" t="s">
        <v>109</v>
      </c>
      <c r="D8" s="4">
        <v>17</v>
      </c>
      <c r="E8" s="4">
        <v>40</v>
      </c>
      <c r="F8" s="4">
        <v>0.9</v>
      </c>
      <c r="G8" s="4">
        <v>1</v>
      </c>
      <c r="H8" s="4">
        <v>39</v>
      </c>
      <c r="I8" s="4">
        <v>11.5</v>
      </c>
      <c r="J8" s="4">
        <v>4.0999999999999996</v>
      </c>
      <c r="K8" s="14">
        <v>71</v>
      </c>
      <c r="M8" s="11" t="s">
        <v>110</v>
      </c>
    </row>
    <row r="9" spans="1:15" x14ac:dyDescent="0.25">
      <c r="A9" t="str">
        <f t="shared" si="0"/>
        <v>LDO-42STH40-2004MAH(VRN)</v>
      </c>
      <c r="B9" s="12" t="s">
        <v>15</v>
      </c>
      <c r="C9" s="12" t="s">
        <v>30</v>
      </c>
      <c r="D9" s="10">
        <v>17</v>
      </c>
      <c r="E9" s="12">
        <v>40</v>
      </c>
      <c r="F9" s="12">
        <v>0.9</v>
      </c>
      <c r="G9" s="12">
        <v>2</v>
      </c>
      <c r="H9" s="12">
        <v>35</v>
      </c>
      <c r="I9" s="12">
        <v>2.8</v>
      </c>
      <c r="J9" s="12">
        <v>1.1000000000000001</v>
      </c>
      <c r="K9" s="12">
        <v>71</v>
      </c>
      <c r="L9" s="12"/>
      <c r="M9" s="11" t="s">
        <v>91</v>
      </c>
    </row>
    <row r="10" spans="1:15" x14ac:dyDescent="0.25">
      <c r="A10" t="str">
        <f t="shared" si="0"/>
        <v>LDO-42STH47-1684AC</v>
      </c>
      <c r="B10" s="12" t="s">
        <v>15</v>
      </c>
      <c r="C10" s="12" t="s">
        <v>22</v>
      </c>
      <c r="D10" s="10">
        <v>17</v>
      </c>
      <c r="E10" s="12">
        <v>48</v>
      </c>
      <c r="F10" s="12">
        <v>1.8</v>
      </c>
      <c r="G10" s="12">
        <v>1.68</v>
      </c>
      <c r="H10" s="12">
        <v>49</v>
      </c>
      <c r="I10" s="12">
        <v>2.8</v>
      </c>
      <c r="J10" s="12">
        <v>1.65</v>
      </c>
      <c r="K10" s="12">
        <v>68</v>
      </c>
      <c r="L10" s="12"/>
      <c r="M10" s="11" t="s">
        <v>83</v>
      </c>
    </row>
    <row r="11" spans="1:15" x14ac:dyDescent="0.25">
      <c r="A11" t="str">
        <f t="shared" si="0"/>
        <v>LDO-42STH48-1684MAH</v>
      </c>
      <c r="B11" s="12" t="s">
        <v>15</v>
      </c>
      <c r="C11" s="12" t="s">
        <v>23</v>
      </c>
      <c r="D11" s="10">
        <v>17</v>
      </c>
      <c r="E11" s="12">
        <v>48</v>
      </c>
      <c r="F11" s="12">
        <v>0.9</v>
      </c>
      <c r="G11" s="12">
        <v>1.68</v>
      </c>
      <c r="H11" s="12">
        <v>39</v>
      </c>
      <c r="I11" s="12">
        <v>2.8</v>
      </c>
      <c r="J11" s="12">
        <v>1.65</v>
      </c>
      <c r="K11" s="12">
        <v>68</v>
      </c>
      <c r="L11" s="12"/>
      <c r="M11" s="11" t="s">
        <v>84</v>
      </c>
    </row>
    <row r="12" spans="1:15" x14ac:dyDescent="0.25">
      <c r="A12" t="str">
        <f t="shared" si="0"/>
        <v>LDO-42STH48-2004AC (VRN)</v>
      </c>
      <c r="B12" s="12" t="s">
        <v>15</v>
      </c>
      <c r="C12" s="12" t="s">
        <v>27</v>
      </c>
      <c r="D12" s="10">
        <v>17</v>
      </c>
      <c r="E12" s="12">
        <v>48</v>
      </c>
      <c r="F12" s="12">
        <v>1.8</v>
      </c>
      <c r="G12" s="12">
        <v>2</v>
      </c>
      <c r="H12" s="12">
        <v>58</v>
      </c>
      <c r="I12" s="12">
        <v>3</v>
      </c>
      <c r="J12" s="12">
        <v>1.6</v>
      </c>
      <c r="K12" s="12">
        <v>85</v>
      </c>
      <c r="L12" s="12"/>
      <c r="M12" s="11" t="s">
        <v>88</v>
      </c>
    </row>
    <row r="13" spans="1:15" x14ac:dyDescent="0.25">
      <c r="A13" t="str">
        <f t="shared" si="0"/>
        <v>LDO-42STH48-2004AH</v>
      </c>
      <c r="B13" s="4" t="s">
        <v>15</v>
      </c>
      <c r="C13" s="4" t="s">
        <v>113</v>
      </c>
      <c r="D13" s="4">
        <v>17</v>
      </c>
      <c r="E13" s="4">
        <v>48</v>
      </c>
      <c r="F13" s="4">
        <v>1.8</v>
      </c>
      <c r="G13" s="4">
        <v>2</v>
      </c>
      <c r="H13" s="4">
        <v>59</v>
      </c>
      <c r="I13" s="4">
        <v>3</v>
      </c>
      <c r="J13" s="4">
        <v>1.4</v>
      </c>
      <c r="K13" s="4">
        <v>68</v>
      </c>
      <c r="M13" t="s">
        <v>114</v>
      </c>
    </row>
    <row r="14" spans="1:15" x14ac:dyDescent="0.25">
      <c r="A14" t="str">
        <f t="shared" si="0"/>
        <v>LDO-42STH60-2004AH</v>
      </c>
      <c r="B14" s="12" t="s">
        <v>15</v>
      </c>
      <c r="C14" s="12" t="s">
        <v>24</v>
      </c>
      <c r="D14" s="10">
        <v>17</v>
      </c>
      <c r="E14" s="12">
        <v>60</v>
      </c>
      <c r="F14" s="12">
        <v>1.8</v>
      </c>
      <c r="G14" s="12">
        <v>2</v>
      </c>
      <c r="H14" s="12">
        <v>83</v>
      </c>
      <c r="I14" s="12">
        <v>3.3</v>
      </c>
      <c r="J14" s="12">
        <v>2</v>
      </c>
      <c r="K14" s="12">
        <v>102</v>
      </c>
      <c r="L14" s="12"/>
      <c r="M14" s="11" t="s">
        <v>85</v>
      </c>
    </row>
    <row r="15" spans="1:15" x14ac:dyDescent="0.25">
      <c r="A15" t="str">
        <f t="shared" si="0"/>
        <v>LDO-42STH60-2004MAC (Railcore)</v>
      </c>
      <c r="B15" s="12" t="s">
        <v>15</v>
      </c>
      <c r="C15" s="12" t="s">
        <v>26</v>
      </c>
      <c r="D15" s="10">
        <v>17</v>
      </c>
      <c r="E15" s="12">
        <v>60</v>
      </c>
      <c r="F15" s="12">
        <v>0.9</v>
      </c>
      <c r="G15" s="12">
        <v>2</v>
      </c>
      <c r="H15" s="12">
        <v>59</v>
      </c>
      <c r="I15" s="12">
        <v>3</v>
      </c>
      <c r="J15" s="12">
        <v>1.4</v>
      </c>
      <c r="K15" s="12">
        <v>120</v>
      </c>
      <c r="L15" s="12"/>
      <c r="M15" s="11" t="s">
        <v>87</v>
      </c>
    </row>
    <row r="16" spans="1:15" x14ac:dyDescent="0.25">
      <c r="A16" t="str">
        <f t="shared" si="0"/>
        <v>LDO-42STH60-2004MAH</v>
      </c>
      <c r="B16" s="4" t="s">
        <v>15</v>
      </c>
      <c r="C16" s="4" t="s">
        <v>111</v>
      </c>
      <c r="D16" s="4">
        <v>17</v>
      </c>
      <c r="E16" s="4">
        <v>60</v>
      </c>
      <c r="F16" s="4">
        <v>0.9</v>
      </c>
      <c r="G16" s="4">
        <v>2</v>
      </c>
      <c r="H16" s="4">
        <f>9.8*6</f>
        <v>58.800000000000004</v>
      </c>
      <c r="I16" s="4">
        <v>3</v>
      </c>
      <c r="J16" s="4">
        <v>1.4</v>
      </c>
      <c r="K16" s="4">
        <v>120</v>
      </c>
      <c r="M16" t="s">
        <v>112</v>
      </c>
    </row>
    <row r="17" spans="1:13" x14ac:dyDescent="0.25">
      <c r="A17" t="str">
        <f t="shared" si="0"/>
        <v>Moons-MS14HA1P4150</v>
      </c>
      <c r="B17" s="12" t="s">
        <v>17</v>
      </c>
      <c r="C17" s="12" t="s">
        <v>35</v>
      </c>
      <c r="D17" s="10">
        <v>14</v>
      </c>
      <c r="E17" s="12">
        <v>27</v>
      </c>
      <c r="F17" s="12">
        <v>0.9</v>
      </c>
      <c r="G17" s="12">
        <v>1.5</v>
      </c>
      <c r="H17" s="12">
        <v>11</v>
      </c>
      <c r="I17" s="12">
        <v>1.8</v>
      </c>
      <c r="J17" s="12">
        <v>1.55</v>
      </c>
      <c r="K17" s="12">
        <v>12</v>
      </c>
      <c r="L17" s="12"/>
      <c r="M17" s="11" t="s">
        <v>97</v>
      </c>
    </row>
    <row r="18" spans="1:13" x14ac:dyDescent="0.25">
      <c r="A18" t="str">
        <f t="shared" si="0"/>
        <v>Moons-MS14HA3P4150</v>
      </c>
      <c r="B18" s="12" t="s">
        <v>17</v>
      </c>
      <c r="C18" s="12" t="s">
        <v>12</v>
      </c>
      <c r="D18" s="10">
        <v>14</v>
      </c>
      <c r="E18" s="12">
        <v>36</v>
      </c>
      <c r="F18" s="12">
        <v>0.9</v>
      </c>
      <c r="G18" s="12">
        <v>1.5</v>
      </c>
      <c r="H18" s="12">
        <v>18</v>
      </c>
      <c r="I18" s="12">
        <v>2.2000000000000002</v>
      </c>
      <c r="J18" s="12">
        <v>1.61</v>
      </c>
      <c r="K18" s="12">
        <v>20</v>
      </c>
      <c r="L18" s="12"/>
      <c r="M18" s="11" t="s">
        <v>95</v>
      </c>
    </row>
    <row r="19" spans="1:13" x14ac:dyDescent="0.25">
      <c r="A19" t="str">
        <f t="shared" si="0"/>
        <v>Moons-MS17HA2P4150 </v>
      </c>
      <c r="B19" s="13" t="s">
        <v>17</v>
      </c>
      <c r="C19" s="12" t="s">
        <v>76</v>
      </c>
      <c r="D19" s="9">
        <v>17</v>
      </c>
      <c r="E19" s="13">
        <v>39.799999999999997</v>
      </c>
      <c r="F19" s="13">
        <v>0.9</v>
      </c>
      <c r="G19" s="13">
        <v>1.5</v>
      </c>
      <c r="H19" s="13">
        <v>40</v>
      </c>
      <c r="I19" s="13">
        <v>5.4</v>
      </c>
      <c r="J19" s="13">
        <v>1.98</v>
      </c>
      <c r="K19" s="13">
        <v>57</v>
      </c>
      <c r="L19" s="13"/>
      <c r="M19" s="11" t="s">
        <v>77</v>
      </c>
    </row>
    <row r="20" spans="1:13" x14ac:dyDescent="0.25">
      <c r="A20" t="str">
        <f t="shared" si="0"/>
        <v>Moons-MS17HA2P4200</v>
      </c>
      <c r="B20" s="12" t="s">
        <v>17</v>
      </c>
      <c r="C20" s="12" t="s">
        <v>29</v>
      </c>
      <c r="D20" s="10">
        <v>17</v>
      </c>
      <c r="E20" s="12">
        <v>40</v>
      </c>
      <c r="F20" s="12">
        <v>0.9</v>
      </c>
      <c r="G20" s="12">
        <v>2</v>
      </c>
      <c r="H20" s="12">
        <v>39</v>
      </c>
      <c r="I20" s="12">
        <v>2.8</v>
      </c>
      <c r="J20" s="12">
        <v>1.05</v>
      </c>
      <c r="K20" s="12">
        <v>57</v>
      </c>
      <c r="L20" s="12"/>
      <c r="M20" s="11" t="s">
        <v>90</v>
      </c>
    </row>
    <row r="21" spans="1:13" x14ac:dyDescent="0.25">
      <c r="A21" t="str">
        <f t="shared" si="0"/>
        <v>Moons-MS17HDBP4100</v>
      </c>
      <c r="B21" s="12" t="s">
        <v>17</v>
      </c>
      <c r="C21" s="12" t="s">
        <v>36</v>
      </c>
      <c r="D21" s="10">
        <v>17</v>
      </c>
      <c r="E21" s="12">
        <v>63</v>
      </c>
      <c r="F21" s="12">
        <v>1.8</v>
      </c>
      <c r="G21" s="12">
        <v>1</v>
      </c>
      <c r="H21" s="12">
        <v>82</v>
      </c>
      <c r="I21" s="12">
        <v>14.6</v>
      </c>
      <c r="J21" s="12">
        <v>5.6</v>
      </c>
      <c r="K21" s="12">
        <v>123</v>
      </c>
      <c r="L21" s="12"/>
      <c r="M21" s="11" t="s">
        <v>98</v>
      </c>
    </row>
    <row r="22" spans="1:13" x14ac:dyDescent="0.25">
      <c r="A22" t="str">
        <f t="shared" si="0"/>
        <v>Motech-MT-1704HSM168RE</v>
      </c>
      <c r="B22" s="12" t="s">
        <v>18</v>
      </c>
      <c r="C22" s="12" t="s">
        <v>31</v>
      </c>
      <c r="D22" s="10">
        <v>17</v>
      </c>
      <c r="E22" s="12">
        <v>48</v>
      </c>
      <c r="F22" s="12">
        <v>0.9</v>
      </c>
      <c r="G22" s="12">
        <v>1.68</v>
      </c>
      <c r="H22" s="12">
        <v>43</v>
      </c>
      <c r="I22" s="12">
        <v>2.8</v>
      </c>
      <c r="J22" s="12">
        <v>1.65</v>
      </c>
      <c r="K22" s="12">
        <v>68</v>
      </c>
      <c r="L22" s="12"/>
      <c r="M22" s="11" t="s">
        <v>92</v>
      </c>
    </row>
    <row r="23" spans="1:13" x14ac:dyDescent="0.25">
      <c r="A23" t="str">
        <f t="shared" si="0"/>
        <v>Nanotec-ST4209L1704-A</v>
      </c>
      <c r="B23" s="12" t="s">
        <v>16</v>
      </c>
      <c r="C23" s="12" t="s">
        <v>28</v>
      </c>
      <c r="D23" s="10">
        <v>17</v>
      </c>
      <c r="E23" s="12">
        <v>48</v>
      </c>
      <c r="F23" s="12">
        <v>0.9</v>
      </c>
      <c r="G23" s="12">
        <v>1.68</v>
      </c>
      <c r="H23" s="12">
        <v>44</v>
      </c>
      <c r="I23" s="12">
        <v>5</v>
      </c>
      <c r="J23" s="12">
        <v>1.8</v>
      </c>
      <c r="K23" s="12">
        <v>68</v>
      </c>
      <c r="L23" s="12"/>
      <c r="M23" s="11" t="s">
        <v>89</v>
      </c>
    </row>
    <row r="24" spans="1:13" x14ac:dyDescent="0.25">
      <c r="A24" t="str">
        <f t="shared" si="0"/>
        <v>OMC-14HS10-0404S</v>
      </c>
      <c r="B24" s="12" t="s">
        <v>14</v>
      </c>
      <c r="C24" s="12" t="s">
        <v>101</v>
      </c>
      <c r="D24" s="10">
        <v>14</v>
      </c>
      <c r="E24" s="12">
        <v>26</v>
      </c>
      <c r="F24" s="12">
        <v>1.8</v>
      </c>
      <c r="G24" s="12">
        <v>0.4</v>
      </c>
      <c r="H24" s="12">
        <v>14</v>
      </c>
      <c r="I24" s="12">
        <v>30</v>
      </c>
      <c r="J24" s="12">
        <v>30</v>
      </c>
      <c r="K24" s="12">
        <v>12</v>
      </c>
      <c r="L24" s="12"/>
      <c r="M24" s="11" t="s">
        <v>102</v>
      </c>
    </row>
    <row r="25" spans="1:13" x14ac:dyDescent="0.25">
      <c r="A25" t="str">
        <f t="shared" si="0"/>
        <v>OMC-14HS13-0804S</v>
      </c>
      <c r="B25" s="12" t="s">
        <v>14</v>
      </c>
      <c r="C25" s="12" t="s">
        <v>37</v>
      </c>
      <c r="D25" s="10">
        <v>14</v>
      </c>
      <c r="E25" s="12">
        <v>34</v>
      </c>
      <c r="F25" s="12">
        <v>1.8</v>
      </c>
      <c r="G25" s="12">
        <v>0.8</v>
      </c>
      <c r="H25" s="12">
        <v>18</v>
      </c>
      <c r="I25" s="12">
        <v>10</v>
      </c>
      <c r="J25" s="12">
        <v>6.8</v>
      </c>
      <c r="K25" s="12">
        <v>14</v>
      </c>
      <c r="L25" s="12"/>
      <c r="M25" s="11" t="s">
        <v>99</v>
      </c>
    </row>
    <row r="26" spans="1:13" x14ac:dyDescent="0.25">
      <c r="A26" t="str">
        <f t="shared" si="0"/>
        <v>OMC-14HS17-0504S</v>
      </c>
      <c r="B26" s="12" t="s">
        <v>14</v>
      </c>
      <c r="C26" s="12" t="s">
        <v>32</v>
      </c>
      <c r="D26" s="10">
        <v>14</v>
      </c>
      <c r="E26" s="12">
        <v>42</v>
      </c>
      <c r="F26" s="12">
        <v>1.8</v>
      </c>
      <c r="G26" s="12">
        <v>0.5</v>
      </c>
      <c r="H26" s="12">
        <v>23</v>
      </c>
      <c r="I26" s="12">
        <v>26</v>
      </c>
      <c r="J26" s="12">
        <v>15</v>
      </c>
      <c r="K26" s="12">
        <v>18</v>
      </c>
      <c r="L26" s="12"/>
      <c r="M26" s="11" t="s">
        <v>93</v>
      </c>
    </row>
    <row r="27" spans="1:13" x14ac:dyDescent="0.25">
      <c r="A27" t="str">
        <f t="shared" si="0"/>
        <v>OMC-14HS20-1504S</v>
      </c>
      <c r="B27" s="12" t="s">
        <v>14</v>
      </c>
      <c r="C27" s="12" t="s">
        <v>33</v>
      </c>
      <c r="D27" s="10">
        <v>14</v>
      </c>
      <c r="E27" s="12">
        <v>52</v>
      </c>
      <c r="F27" s="12">
        <v>1.8</v>
      </c>
      <c r="G27" s="12">
        <v>1.5</v>
      </c>
      <c r="H27" s="12">
        <v>40</v>
      </c>
      <c r="I27" s="12">
        <v>3.8</v>
      </c>
      <c r="J27" s="12">
        <v>2.8</v>
      </c>
      <c r="K27" s="12">
        <v>54</v>
      </c>
      <c r="L27" s="12" t="s">
        <v>142</v>
      </c>
      <c r="M27" s="11" t="s">
        <v>94</v>
      </c>
    </row>
    <row r="28" spans="1:13" x14ac:dyDescent="0.25">
      <c r="A28" t="str">
        <f t="shared" si="0"/>
        <v>OMC-17HM19-1684S</v>
      </c>
      <c r="B28" s="12" t="s">
        <v>14</v>
      </c>
      <c r="C28" s="12" t="s">
        <v>21</v>
      </c>
      <c r="D28" s="10">
        <v>17</v>
      </c>
      <c r="E28" s="12">
        <v>48</v>
      </c>
      <c r="F28" s="12">
        <v>0.9</v>
      </c>
      <c r="G28" s="12">
        <v>1.68</v>
      </c>
      <c r="H28" s="12">
        <v>44</v>
      </c>
      <c r="I28" s="12">
        <v>4.0999999999999996</v>
      </c>
      <c r="J28" s="12">
        <v>1.65</v>
      </c>
      <c r="K28" s="12">
        <v>68</v>
      </c>
      <c r="L28" s="12"/>
      <c r="M28" s="11" t="s">
        <v>82</v>
      </c>
    </row>
    <row r="29" spans="1:13" x14ac:dyDescent="0.25">
      <c r="A29" t="str">
        <f t="shared" si="0"/>
        <v>OMC-17HM19-2004S</v>
      </c>
      <c r="B29" s="12" t="s">
        <v>14</v>
      </c>
      <c r="C29" s="12" t="s">
        <v>20</v>
      </c>
      <c r="D29" s="10">
        <v>17</v>
      </c>
      <c r="E29" s="12">
        <v>48</v>
      </c>
      <c r="F29" s="12">
        <v>0.9</v>
      </c>
      <c r="G29" s="12">
        <v>2</v>
      </c>
      <c r="H29" s="12">
        <v>46</v>
      </c>
      <c r="I29" s="12">
        <v>4</v>
      </c>
      <c r="J29" s="12">
        <v>1.45</v>
      </c>
      <c r="K29" s="12">
        <v>82</v>
      </c>
      <c r="L29" s="12"/>
      <c r="M29" s="11" t="s">
        <v>81</v>
      </c>
    </row>
    <row r="30" spans="1:13" x14ac:dyDescent="0.25">
      <c r="A30" t="str">
        <f t="shared" si="0"/>
        <v>OMC-17HS13-0404S1</v>
      </c>
      <c r="B30" s="12" t="s">
        <v>14</v>
      </c>
      <c r="C30" s="12" t="s">
        <v>34</v>
      </c>
      <c r="D30" s="10">
        <v>17</v>
      </c>
      <c r="E30" s="12">
        <v>34</v>
      </c>
      <c r="F30" s="12">
        <v>1.8</v>
      </c>
      <c r="G30" s="12">
        <v>0.4</v>
      </c>
      <c r="H30" s="12">
        <v>26</v>
      </c>
      <c r="I30" s="12">
        <v>37</v>
      </c>
      <c r="J30" s="12">
        <v>30</v>
      </c>
      <c r="K30" s="12">
        <v>38</v>
      </c>
      <c r="L30" s="12"/>
      <c r="M30" s="11" t="s">
        <v>96</v>
      </c>
    </row>
    <row r="31" spans="1:13" x14ac:dyDescent="0.25">
      <c r="A31" t="str">
        <f t="shared" si="0"/>
        <v>OMC-17HS16-2004S1</v>
      </c>
      <c r="B31" s="12" t="s">
        <v>14</v>
      </c>
      <c r="C31" s="12" t="s">
        <v>19</v>
      </c>
      <c r="D31" s="10">
        <v>17</v>
      </c>
      <c r="E31" s="12">
        <v>40</v>
      </c>
      <c r="F31" s="12">
        <v>1.8</v>
      </c>
      <c r="G31" s="12">
        <v>2</v>
      </c>
      <c r="H31" s="12">
        <v>45</v>
      </c>
      <c r="I31" s="12">
        <v>2.6</v>
      </c>
      <c r="J31" s="12">
        <v>1.1000000000000001</v>
      </c>
      <c r="K31" s="12">
        <v>54</v>
      </c>
      <c r="L31" s="12"/>
      <c r="M31" s="11" t="s">
        <v>80</v>
      </c>
    </row>
    <row r="32" spans="1:13" x14ac:dyDescent="0.25">
      <c r="A32" t="str">
        <f t="shared" si="0"/>
        <v>OMC-17HS19-2004S1</v>
      </c>
      <c r="B32" s="12" t="s">
        <v>14</v>
      </c>
      <c r="C32" s="12" t="s">
        <v>78</v>
      </c>
      <c r="D32" s="10">
        <v>17</v>
      </c>
      <c r="E32" s="12">
        <v>48</v>
      </c>
      <c r="F32" s="12">
        <v>1.8</v>
      </c>
      <c r="G32" s="12">
        <v>2</v>
      </c>
      <c r="H32" s="12">
        <v>59</v>
      </c>
      <c r="I32" s="12">
        <v>3</v>
      </c>
      <c r="J32" s="12">
        <v>1.4</v>
      </c>
      <c r="K32" s="12">
        <v>82</v>
      </c>
      <c r="L32" s="12"/>
      <c r="M32" s="11" t="s">
        <v>79</v>
      </c>
    </row>
    <row r="33" spans="1:13" x14ac:dyDescent="0.25">
      <c r="A33" t="str">
        <f t="shared" si="0"/>
        <v>LDO-42STH47-2504AC</v>
      </c>
      <c r="B33" s="4" t="s">
        <v>15</v>
      </c>
      <c r="C33" s="4" t="s">
        <v>120</v>
      </c>
      <c r="D33" s="4">
        <v>17</v>
      </c>
      <c r="E33" s="4">
        <v>48</v>
      </c>
      <c r="F33" s="4">
        <v>1.8</v>
      </c>
      <c r="G33" s="4">
        <v>2.5</v>
      </c>
      <c r="H33" s="4">
        <f>5.5*9.8</f>
        <v>53.900000000000006</v>
      </c>
      <c r="I33" s="4">
        <v>1.8</v>
      </c>
      <c r="J33" s="4">
        <v>1.25</v>
      </c>
      <c r="K33" s="4">
        <v>68</v>
      </c>
    </row>
    <row r="34" spans="1:13" x14ac:dyDescent="0.25">
      <c r="A34" t="str">
        <f t="shared" si="0"/>
        <v>OMC-17HS24-2104S</v>
      </c>
      <c r="B34" s="4" t="s">
        <v>14</v>
      </c>
      <c r="C34" s="4" t="s">
        <v>133</v>
      </c>
      <c r="D34" s="4">
        <v>17</v>
      </c>
      <c r="E34" s="4">
        <v>60</v>
      </c>
      <c r="F34" s="4">
        <v>1.8</v>
      </c>
      <c r="G34" s="4">
        <v>2.1</v>
      </c>
      <c r="H34" s="4">
        <v>65</v>
      </c>
      <c r="I34" s="4">
        <v>3</v>
      </c>
      <c r="J34" s="4">
        <v>1.6</v>
      </c>
      <c r="K34" s="4">
        <v>148</v>
      </c>
    </row>
    <row r="35" spans="1:13" x14ac:dyDescent="0.25">
      <c r="A35" t="str">
        <f t="shared" si="0"/>
        <v>FYSETC-42HSC1404B-200N8</v>
      </c>
      <c r="B35" s="4" t="s">
        <v>135</v>
      </c>
      <c r="C35" s="4" t="s">
        <v>136</v>
      </c>
      <c r="D35" s="4">
        <v>14</v>
      </c>
      <c r="E35" s="4">
        <v>34.5</v>
      </c>
      <c r="F35" s="4">
        <v>1.8</v>
      </c>
      <c r="G35" s="4">
        <v>0.4</v>
      </c>
      <c r="H35" s="4">
        <v>32</v>
      </c>
      <c r="I35" s="4">
        <v>38</v>
      </c>
      <c r="J35" s="4">
        <v>29</v>
      </c>
      <c r="K35" s="4">
        <v>40</v>
      </c>
      <c r="L35" s="4" t="s">
        <v>141</v>
      </c>
      <c r="M35" t="s">
        <v>134</v>
      </c>
    </row>
    <row r="36" spans="1:13" x14ac:dyDescent="0.25">
      <c r="A36" t="str">
        <f t="shared" si="0"/>
        <v>FYSETC-35HSH7402-24B-400A</v>
      </c>
      <c r="B36" s="4" t="s">
        <v>135</v>
      </c>
      <c r="C36" s="4" t="s">
        <v>137</v>
      </c>
      <c r="D36" s="4">
        <v>14</v>
      </c>
      <c r="E36" s="4">
        <v>51</v>
      </c>
      <c r="F36" s="4">
        <v>1.8</v>
      </c>
      <c r="G36" s="4">
        <v>1.5</v>
      </c>
      <c r="H36" s="4">
        <v>42</v>
      </c>
      <c r="I36" s="4">
        <v>5.5</v>
      </c>
      <c r="J36" s="4">
        <v>2.8</v>
      </c>
      <c r="K36" s="4">
        <v>48</v>
      </c>
      <c r="L36" s="4" t="s">
        <v>142</v>
      </c>
      <c r="M36" t="s">
        <v>138</v>
      </c>
    </row>
    <row r="37" spans="1:13" x14ac:dyDescent="0.25">
      <c r="A37" t="str">
        <f t="shared" si="0"/>
        <v>FYSETC-G36HSY4407-6D-550</v>
      </c>
      <c r="B37" s="4" t="s">
        <v>135</v>
      </c>
      <c r="C37" s="4" t="s">
        <v>139</v>
      </c>
      <c r="D37" s="4">
        <v>14</v>
      </c>
      <c r="E37" s="4">
        <v>20.5</v>
      </c>
      <c r="F37" s="4">
        <v>1.8</v>
      </c>
      <c r="G37" s="4">
        <v>0.5</v>
      </c>
      <c r="H37" s="4">
        <v>12</v>
      </c>
      <c r="I37" s="4">
        <v>10</v>
      </c>
      <c r="J37" s="4">
        <v>13</v>
      </c>
      <c r="K37" s="4">
        <v>15</v>
      </c>
      <c r="L37" s="4" t="s">
        <v>143</v>
      </c>
      <c r="M37" t="s">
        <v>140</v>
      </c>
    </row>
    <row r="38" spans="1:13" x14ac:dyDescent="0.25">
      <c r="A38" t="str">
        <f t="shared" si="0"/>
        <v>FYSETC-TB-3544</v>
      </c>
      <c r="B38" s="4" t="s">
        <v>135</v>
      </c>
      <c r="C38" s="4" t="s">
        <v>145</v>
      </c>
      <c r="D38" s="4">
        <v>17</v>
      </c>
      <c r="E38" s="4">
        <v>39</v>
      </c>
      <c r="F38" s="4">
        <v>1.8</v>
      </c>
      <c r="G38" s="4">
        <v>1.5</v>
      </c>
      <c r="H38" s="4">
        <v>50</v>
      </c>
      <c r="I38" s="4">
        <v>3.8</v>
      </c>
      <c r="J38" s="4">
        <v>1.8</v>
      </c>
      <c r="K38" s="4">
        <v>55</v>
      </c>
      <c r="L38" s="4" t="s">
        <v>146</v>
      </c>
      <c r="M38" t="s">
        <v>144</v>
      </c>
    </row>
    <row r="39" spans="1:13" x14ac:dyDescent="0.25">
      <c r="A39" t="str">
        <f t="shared" si="0"/>
        <v>FYSETC-MSM-30010-R0005</v>
      </c>
      <c r="B39" s="4" t="s">
        <v>135</v>
      </c>
      <c r="C39" s="4" t="s">
        <v>147</v>
      </c>
      <c r="D39" s="4">
        <v>17</v>
      </c>
      <c r="E39" s="4">
        <v>20</v>
      </c>
      <c r="F39" s="4">
        <v>1.8</v>
      </c>
      <c r="G39" s="4">
        <v>1</v>
      </c>
      <c r="H39" s="4">
        <v>14</v>
      </c>
      <c r="I39" s="4">
        <v>3.6</v>
      </c>
      <c r="J39" s="4">
        <v>4.0999999999999996</v>
      </c>
      <c r="L39" s="4" t="s">
        <v>149</v>
      </c>
      <c r="M39" t="s">
        <v>148</v>
      </c>
    </row>
    <row r="40" spans="1:13" x14ac:dyDescent="0.25">
      <c r="A40" t="str">
        <f t="shared" si="0"/>
        <v>OMC-17HS08-1004S</v>
      </c>
      <c r="B40" s="4" t="s">
        <v>14</v>
      </c>
      <c r="C40" s="4" t="s">
        <v>150</v>
      </c>
      <c r="D40" s="4">
        <v>17</v>
      </c>
      <c r="E40" s="4">
        <v>20</v>
      </c>
      <c r="F40" s="4">
        <v>1.8</v>
      </c>
      <c r="G40" s="4">
        <v>1</v>
      </c>
      <c r="H40" s="4">
        <v>16</v>
      </c>
      <c r="I40" s="4">
        <v>3.7</v>
      </c>
      <c r="J40" s="4">
        <v>4.5</v>
      </c>
      <c r="K40" s="4">
        <v>22</v>
      </c>
    </row>
  </sheetData>
  <autoFilter ref="A2:M28" xr:uid="{4E5820D9-FC51-B24E-8652-C82A7458A230}">
    <sortState xmlns:xlrd2="http://schemas.microsoft.com/office/spreadsheetml/2017/richdata2" ref="A3:M32">
      <sortCondition ref="A2:A32"/>
    </sortState>
  </autoFilter>
  <conditionalFormatting sqref="D28:D1048576 D1:D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8:F1048576 F1:F2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 G1:G2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8:H1048576 H1:H2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8:I1048576 I1:I2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8:J1048576 J1:J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8:E1048576 E1:E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8:L1048576 K1:L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8:D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L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M32" r:id="rId1" xr:uid="{C2775235-EB6F-7040-BBAD-E349E51BBBBB}"/>
    <hyperlink ref="M31" r:id="rId2" xr:uid="{8DC8DF4C-0DC9-F947-AC59-4E2ED6070688}"/>
    <hyperlink ref="M29" r:id="rId3" xr:uid="{E3120C9D-BB54-9B49-A5BA-4D9B56A62E76}"/>
    <hyperlink ref="M28" r:id="rId4" xr:uid="{BAB8A304-2D89-EC4D-89E1-9EF92AA59F59}"/>
    <hyperlink ref="M10" r:id="rId5" xr:uid="{011BC0B7-A0CF-E04C-83A9-9EAEC4CB4F2C}"/>
    <hyperlink ref="M11" r:id="rId6" xr:uid="{3B96C3D1-4CAC-484D-8A07-9D312A8A905E}"/>
    <hyperlink ref="M14" r:id="rId7" xr:uid="{2420A367-9004-D44E-854F-EE7FD0593775}"/>
    <hyperlink ref="M7" r:id="rId8" xr:uid="{BEFB2DF9-E9F8-C24E-A598-E5547541405B}"/>
    <hyperlink ref="M15" r:id="rId9" xr:uid="{E2810440-A68F-CC49-8A2C-D3889A6849A8}"/>
    <hyperlink ref="M12" r:id="rId10" xr:uid="{2E62C23D-106B-9640-8161-F8867A8FBF69}"/>
    <hyperlink ref="M23" r:id="rId11" xr:uid="{E0C25598-A681-6144-9081-BC17EE9946B9}"/>
    <hyperlink ref="M20" r:id="rId12" xr:uid="{C4D04378-8C2D-A640-912B-5FF8F0101379}"/>
    <hyperlink ref="M9" r:id="rId13" xr:uid="{08F335D5-DEC6-A642-B4A0-7E4EA95B8F0B}"/>
    <hyperlink ref="M22" r:id="rId14" xr:uid="{05896135-9D69-884B-83F5-A00B98BF9FED}"/>
    <hyperlink ref="M26" r:id="rId15" xr:uid="{6BD4800E-276E-0C43-998D-318466961CEE}"/>
    <hyperlink ref="M27" r:id="rId16" xr:uid="{039EF56E-DB7D-6747-8F85-696346E01452}"/>
    <hyperlink ref="M18" r:id="rId17" xr:uid="{7F9877EC-7C62-8847-8D0E-A7E7B1EDEE43}"/>
    <hyperlink ref="M30" r:id="rId18" xr:uid="{99CD061C-61E4-C64A-899F-19BDE0DBADA3}"/>
    <hyperlink ref="M17" r:id="rId19" xr:uid="{A3632361-F340-9D40-898D-F49B347AE315}"/>
    <hyperlink ref="M21" r:id="rId20" xr:uid="{DEA02D60-7AD5-9044-82AD-A8256F43B20E}"/>
    <hyperlink ref="M25" r:id="rId21" xr:uid="{024573C7-FF81-0B40-A9F9-7A18C6279FE8}"/>
    <hyperlink ref="M19" r:id="rId22" xr:uid="{743FB7ED-A770-FD4A-A1DD-1037006C0394}"/>
    <hyperlink ref="M8" r:id="rId23" xr:uid="{65E81ECB-9229-0640-8D91-7A266EFBDC8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4</vt:i4>
      </vt:variant>
    </vt:vector>
  </HeadingPairs>
  <TitlesOfParts>
    <vt:vector size="6" baseType="lpstr">
      <vt:lpstr>UI</vt:lpstr>
      <vt:lpstr>Database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Node</cp:lastModifiedBy>
  <cp:revision/>
  <dcterms:created xsi:type="dcterms:W3CDTF">2020-01-03T20:05:09Z</dcterms:created>
  <dcterms:modified xsi:type="dcterms:W3CDTF">2021-09-11T18:54:28Z</dcterms:modified>
  <cp:category/>
  <cp:contentStatus/>
</cp:coreProperties>
</file>