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shualongenecker/Github/jdlongenecker/documentation/stepper_motor/data/"/>
    </mc:Choice>
  </mc:AlternateContent>
  <xr:revisionPtr revIDLastSave="0" documentId="13_ncr:1_{1A2E2BC5-3A35-6343-89E6-A6139AFB9F18}" xr6:coauthVersionLast="46" xr6:coauthVersionMax="46" xr10:uidLastSave="{00000000-0000-0000-0000-000000000000}"/>
  <bookViews>
    <workbookView xWindow="1760" yWindow="460" windowWidth="34840" windowHeight="23540" xr2:uid="{4E23AFD2-F618-43A8-B47B-65FFC6E642DF}"/>
  </bookViews>
  <sheets>
    <sheet name="UI" sheetId="30" r:id="rId1"/>
    <sheet name="Torque" sheetId="31" r:id="rId2"/>
    <sheet name="Power" sheetId="32" r:id="rId3"/>
    <sheet name="Database" sheetId="29" r:id="rId4"/>
    <sheet name="Chart1" sheetId="4" state="hidden" r:id="rId5"/>
  </sheets>
  <functionGroups builtInGroupCount="19"/>
  <definedNames>
    <definedName name="_xlnm._FilterDatabase" localSheetId="3" hidden="1">Database!$A$2:$K$23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0" l="1"/>
  <c r="C11" i="30" l="1"/>
  <c r="AH4" i="30" s="1"/>
  <c r="E6" i="30"/>
  <c r="AJ2" i="30"/>
  <c r="AJ1" i="30"/>
  <c r="AG2" i="30"/>
  <c r="AZ2" i="30" s="1"/>
  <c r="AF2" i="30"/>
  <c r="AY2" i="30" s="1"/>
  <c r="AE2" i="30"/>
  <c r="AX2" i="30" s="1"/>
  <c r="Q3" i="30"/>
  <c r="AJ3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P4" i="30"/>
  <c r="Q4" i="30" s="1"/>
  <c r="AJ4" i="30" s="1"/>
  <c r="A10" i="29"/>
  <c r="A9" i="29"/>
  <c r="A11" i="29"/>
  <c r="A8" i="29"/>
  <c r="A15" i="29"/>
  <c r="A3" i="29"/>
  <c r="A18" i="29"/>
  <c r="A6" i="29"/>
  <c r="A7" i="29"/>
  <c r="A12" i="29"/>
  <c r="A16" i="29"/>
  <c r="A17" i="29"/>
  <c r="A13" i="29"/>
  <c r="A20" i="29"/>
  <c r="A14" i="29"/>
  <c r="A21" i="29"/>
  <c r="A19" i="29"/>
  <c r="A23" i="29"/>
  <c r="A4" i="29"/>
  <c r="A22" i="29"/>
  <c r="A5" i="29"/>
  <c r="K24" i="30" s="1"/>
  <c r="N24" i="30" s="1"/>
  <c r="H21" i="29"/>
  <c r="H13" i="29"/>
  <c r="H16" i="29"/>
  <c r="H12" i="29"/>
  <c r="H7" i="29"/>
  <c r="H6" i="29"/>
  <c r="H18" i="29"/>
  <c r="H3" i="29"/>
  <c r="H15" i="29"/>
  <c r="H8" i="29"/>
  <c r="AH26" i="30" l="1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23" i="30"/>
  <c r="G33" i="30"/>
  <c r="M33" i="30" s="1"/>
  <c r="G32" i="30"/>
  <c r="M32" i="30" s="1"/>
  <c r="G27" i="30"/>
  <c r="M27" i="30" s="1"/>
  <c r="I23" i="30"/>
  <c r="F33" i="30"/>
  <c r="F32" i="30"/>
  <c r="F31" i="30"/>
  <c r="F30" i="30"/>
  <c r="F29" i="30"/>
  <c r="F28" i="30"/>
  <c r="F27" i="30"/>
  <c r="F26" i="30"/>
  <c r="F25" i="30"/>
  <c r="F24" i="30"/>
  <c r="G28" i="30"/>
  <c r="M28" i="30" s="1"/>
  <c r="J23" i="30"/>
  <c r="E33" i="30"/>
  <c r="E32" i="30"/>
  <c r="E31" i="30"/>
  <c r="E30" i="30"/>
  <c r="E29" i="30"/>
  <c r="E28" i="30"/>
  <c r="E27" i="30"/>
  <c r="E26" i="30"/>
  <c r="E25" i="30"/>
  <c r="E24" i="30"/>
  <c r="G31" i="30"/>
  <c r="M31" i="30" s="1"/>
  <c r="G26" i="30"/>
  <c r="M26" i="30" s="1"/>
  <c r="K23" i="30"/>
  <c r="N23" i="30" s="1"/>
  <c r="D33" i="30"/>
  <c r="D32" i="30"/>
  <c r="D31" i="30"/>
  <c r="D30" i="30"/>
  <c r="D29" i="30"/>
  <c r="D28" i="30"/>
  <c r="D27" i="30"/>
  <c r="D26" i="30"/>
  <c r="D25" i="30"/>
  <c r="D24" i="30"/>
  <c r="G29" i="30"/>
  <c r="M29" i="30" s="1"/>
  <c r="G24" i="30"/>
  <c r="M24" i="30" s="1"/>
  <c r="K33" i="30"/>
  <c r="N33" i="30" s="1"/>
  <c r="K32" i="30"/>
  <c r="N32" i="30" s="1"/>
  <c r="K31" i="30"/>
  <c r="N31" i="30" s="1"/>
  <c r="K30" i="30"/>
  <c r="N30" i="30" s="1"/>
  <c r="K29" i="30"/>
  <c r="N29" i="30" s="1"/>
  <c r="K28" i="30"/>
  <c r="N28" i="30" s="1"/>
  <c r="K27" i="30"/>
  <c r="N27" i="30" s="1"/>
  <c r="K26" i="30"/>
  <c r="N26" i="30" s="1"/>
  <c r="K25" i="30"/>
  <c r="N25" i="30" s="1"/>
  <c r="D34" i="30"/>
  <c r="K35" i="30"/>
  <c r="N35" i="30" s="1"/>
  <c r="J36" i="30"/>
  <c r="J37" i="30"/>
  <c r="J38" i="30"/>
  <c r="E34" i="30"/>
  <c r="D35" i="30"/>
  <c r="K36" i="30"/>
  <c r="N36" i="30" s="1"/>
  <c r="K37" i="30"/>
  <c r="N37" i="30" s="1"/>
  <c r="K38" i="30"/>
  <c r="N38" i="30" s="1"/>
  <c r="I38" i="30"/>
  <c r="F34" i="30"/>
  <c r="E35" i="30"/>
  <c r="D36" i="30"/>
  <c r="D37" i="30"/>
  <c r="D38" i="30"/>
  <c r="I36" i="30"/>
  <c r="G34" i="30"/>
  <c r="M34" i="30" s="1"/>
  <c r="F35" i="30"/>
  <c r="E36" i="30"/>
  <c r="E37" i="30"/>
  <c r="E38" i="30"/>
  <c r="I37" i="30"/>
  <c r="H34" i="30"/>
  <c r="G35" i="30"/>
  <c r="M35" i="30" s="1"/>
  <c r="F36" i="30"/>
  <c r="F37" i="30"/>
  <c r="F38" i="30"/>
  <c r="I34" i="30"/>
  <c r="H35" i="30"/>
  <c r="G36" i="30"/>
  <c r="M36" i="30" s="1"/>
  <c r="G37" i="30"/>
  <c r="M37" i="30" s="1"/>
  <c r="G38" i="30"/>
  <c r="M38" i="30" s="1"/>
  <c r="K34" i="30"/>
  <c r="N34" i="30" s="1"/>
  <c r="J34" i="30"/>
  <c r="I35" i="30"/>
  <c r="H36" i="30"/>
  <c r="H37" i="30"/>
  <c r="H38" i="30"/>
  <c r="J35" i="30"/>
  <c r="E23" i="30"/>
  <c r="J33" i="30"/>
  <c r="J32" i="30"/>
  <c r="J31" i="30"/>
  <c r="J30" i="30"/>
  <c r="J29" i="30"/>
  <c r="J28" i="30"/>
  <c r="J27" i="30"/>
  <c r="J26" i="30"/>
  <c r="J25" i="30"/>
  <c r="J24" i="30"/>
  <c r="G30" i="30"/>
  <c r="M30" i="30" s="1"/>
  <c r="G25" i="30"/>
  <c r="M25" i="30" s="1"/>
  <c r="D23" i="30"/>
  <c r="I33" i="30"/>
  <c r="I31" i="30"/>
  <c r="I29" i="30"/>
  <c r="I28" i="30"/>
  <c r="I27" i="30"/>
  <c r="I26" i="30"/>
  <c r="I25" i="30"/>
  <c r="I24" i="30"/>
  <c r="F23" i="30"/>
  <c r="I32" i="30"/>
  <c r="I30" i="30"/>
  <c r="G23" i="30"/>
  <c r="M23" i="30" s="1"/>
  <c r="H33" i="30"/>
  <c r="H32" i="30"/>
  <c r="H31" i="30"/>
  <c r="H30" i="30"/>
  <c r="H29" i="30"/>
  <c r="H28" i="30"/>
  <c r="H27" i="30"/>
  <c r="H26" i="30"/>
  <c r="H25" i="30"/>
  <c r="H24" i="30"/>
  <c r="P5" i="30"/>
  <c r="AG3" i="30"/>
  <c r="AA3" i="30"/>
  <c r="AR3" i="30"/>
  <c r="AP3" i="30"/>
  <c r="AL5" i="30"/>
  <c r="AU5" i="30"/>
  <c r="AS3" i="30"/>
  <c r="AN3" i="30"/>
  <c r="AU3" i="30"/>
  <c r="AM5" i="30"/>
  <c r="AT3" i="30"/>
  <c r="AV3" i="30"/>
  <c r="AT4" i="30"/>
  <c r="AK3" i="30"/>
  <c r="AQ4" i="30"/>
  <c r="AM4" i="30"/>
  <c r="Y3" i="30"/>
  <c r="V3" i="30"/>
  <c r="AR4" i="30"/>
  <c r="AP4" i="30"/>
  <c r="AQ5" i="30"/>
  <c r="AT5" i="30"/>
  <c r="AS4" i="30"/>
  <c r="AN4" i="30"/>
  <c r="Z3" i="30"/>
  <c r="AS5" i="30"/>
  <c r="AW3" i="30"/>
  <c r="AX5" i="30"/>
  <c r="AV4" i="30"/>
  <c r="AP5" i="30"/>
  <c r="X3" i="30"/>
  <c r="AF3" i="30"/>
  <c r="AD3" i="30"/>
  <c r="AU4" i="30"/>
  <c r="AZ5" i="30"/>
  <c r="AW4" i="30"/>
  <c r="T3" i="30"/>
  <c r="S4" i="30"/>
  <c r="R3" i="30"/>
  <c r="U3" i="30"/>
  <c r="AL3" i="30"/>
  <c r="AW5" i="30"/>
  <c r="AO5" i="30"/>
  <c r="AY3" i="30"/>
  <c r="AZ3" i="30"/>
  <c r="AK4" i="30"/>
  <c r="AE3" i="30"/>
  <c r="AO4" i="30"/>
  <c r="S5" i="30"/>
  <c r="AB3" i="30"/>
  <c r="AC3" i="30"/>
  <c r="AL4" i="30"/>
  <c r="AR5" i="30"/>
  <c r="AK5" i="30"/>
  <c r="AY4" i="30"/>
  <c r="AZ4" i="30"/>
  <c r="AX4" i="30"/>
  <c r="W3" i="30"/>
  <c r="S3" i="30"/>
  <c r="AQ3" i="30"/>
  <c r="AX3" i="30"/>
  <c r="AV5" i="30"/>
  <c r="AY5" i="30"/>
  <c r="AO3" i="30"/>
  <c r="AM3" i="30"/>
  <c r="AN5" i="30"/>
  <c r="Q5" i="30" l="1"/>
  <c r="AJ5" i="30" s="1"/>
  <c r="AF4" i="30"/>
  <c r="Z5" i="30"/>
  <c r="AE4" i="30"/>
  <c r="Y4" i="30"/>
  <c r="AF5" i="30"/>
  <c r="T5" i="30"/>
  <c r="T4" i="30"/>
  <c r="AG5" i="30"/>
  <c r="AA4" i="30"/>
  <c r="AB4" i="30"/>
  <c r="R4" i="30"/>
  <c r="V5" i="30"/>
  <c r="AB5" i="30"/>
  <c r="R5" i="30"/>
  <c r="X4" i="30"/>
  <c r="U4" i="30"/>
  <c r="AC4" i="30"/>
  <c r="V4" i="30"/>
  <c r="W5" i="30"/>
  <c r="AC5" i="30"/>
  <c r="W4" i="30"/>
  <c r="Z4" i="30"/>
  <c r="AA5" i="30"/>
  <c r="Y5" i="30"/>
  <c r="AD4" i="30"/>
  <c r="AG4" i="30"/>
  <c r="X5" i="30"/>
  <c r="U5" i="30"/>
  <c r="AD5" i="30"/>
  <c r="AE5" i="30"/>
  <c r="P6" i="30" l="1"/>
  <c r="AA6" i="30"/>
  <c r="S6" i="30"/>
  <c r="AZ6" i="30"/>
  <c r="AL6" i="30"/>
  <c r="U6" i="30"/>
  <c r="AF6" i="30"/>
  <c r="AY6" i="30"/>
  <c r="AN6" i="30"/>
  <c r="T6" i="30"/>
  <c r="AC6" i="30"/>
  <c r="AV6" i="30"/>
  <c r="AD6" i="30"/>
  <c r="AQ6" i="30"/>
  <c r="AB6" i="30"/>
  <c r="AT6" i="30"/>
  <c r="Y6" i="30"/>
  <c r="AE6" i="30"/>
  <c r="V6" i="30"/>
  <c r="AU6" i="30"/>
  <c r="AK6" i="30"/>
  <c r="AR6" i="30"/>
  <c r="AW6" i="30"/>
  <c r="R6" i="30"/>
  <c r="AX6" i="30"/>
  <c r="Z6" i="30"/>
  <c r="AM6" i="30"/>
  <c r="AS6" i="30"/>
  <c r="X6" i="30"/>
  <c r="W6" i="30"/>
  <c r="AO6" i="30"/>
  <c r="AP6" i="30"/>
  <c r="AG6" i="30"/>
  <c r="Q6" i="30" l="1"/>
  <c r="AJ6" i="30" s="1"/>
  <c r="P7" i="30"/>
  <c r="W7" i="30"/>
  <c r="Y7" i="30"/>
  <c r="AL7" i="30"/>
  <c r="AV7" i="30"/>
  <c r="S7" i="30"/>
  <c r="AR7" i="30"/>
  <c r="AY7" i="30"/>
  <c r="AQ7" i="30"/>
  <c r="AE7" i="30"/>
  <c r="R7" i="30"/>
  <c r="AF7" i="30"/>
  <c r="AG7" i="30"/>
  <c r="V7" i="30"/>
  <c r="AC7" i="30"/>
  <c r="U7" i="30"/>
  <c r="AX7" i="30"/>
  <c r="T7" i="30"/>
  <c r="AP7" i="30"/>
  <c r="AT7" i="30"/>
  <c r="AN7" i="30"/>
  <c r="AW7" i="30"/>
  <c r="AK7" i="30"/>
  <c r="AM7" i="30"/>
  <c r="AS7" i="30"/>
  <c r="Z7" i="30"/>
  <c r="AA7" i="30"/>
  <c r="AO7" i="30"/>
  <c r="AZ7" i="30"/>
  <c r="AU7" i="30"/>
  <c r="X7" i="30"/>
  <c r="AB7" i="30"/>
  <c r="AD7" i="30"/>
  <c r="Q7" i="30" l="1"/>
  <c r="AJ7" i="30" s="1"/>
  <c r="P8" i="30"/>
  <c r="AB8" i="30"/>
  <c r="AE8" i="30"/>
  <c r="AP8" i="30"/>
  <c r="AV8" i="30"/>
  <c r="AG8" i="30"/>
  <c r="S8" i="30"/>
  <c r="AS8" i="30"/>
  <c r="U8" i="30"/>
  <c r="AC8" i="30"/>
  <c r="AT8" i="30"/>
  <c r="AA8" i="30"/>
  <c r="AK8" i="30"/>
  <c r="AL8" i="30"/>
  <c r="AX8" i="30"/>
  <c r="AD8" i="30"/>
  <c r="AU8" i="30"/>
  <c r="AZ8" i="30"/>
  <c r="AM8" i="30"/>
  <c r="AQ8" i="30"/>
  <c r="X8" i="30"/>
  <c r="AW8" i="30"/>
  <c r="AF8" i="30"/>
  <c r="W8" i="30"/>
  <c r="AR8" i="30"/>
  <c r="AN8" i="30"/>
  <c r="AY8" i="30"/>
  <c r="Z8" i="30"/>
  <c r="R8" i="30"/>
  <c r="T8" i="30"/>
  <c r="AO8" i="30"/>
  <c r="V8" i="30"/>
  <c r="Y8" i="30"/>
  <c r="Q8" i="30" l="1"/>
  <c r="AJ8" i="30" s="1"/>
  <c r="P9" i="30"/>
  <c r="V9" i="30"/>
  <c r="AG9" i="30"/>
  <c r="AY9" i="30"/>
  <c r="AO9" i="30"/>
  <c r="X9" i="30"/>
  <c r="AU9" i="30"/>
  <c r="AK9" i="30"/>
  <c r="AC9" i="30"/>
  <c r="U9" i="30"/>
  <c r="AM9" i="30"/>
  <c r="AL9" i="30"/>
  <c r="AD9" i="30"/>
  <c r="AT9" i="30"/>
  <c r="W9" i="30"/>
  <c r="S9" i="30"/>
  <c r="AA9" i="30"/>
  <c r="AB9" i="30"/>
  <c r="AV9" i="30"/>
  <c r="Z9" i="30"/>
  <c r="AW9" i="30"/>
  <c r="T9" i="30"/>
  <c r="AS9" i="30"/>
  <c r="AN9" i="30"/>
  <c r="AX9" i="30"/>
  <c r="AE9" i="30"/>
  <c r="AZ9" i="30"/>
  <c r="AQ9" i="30"/>
  <c r="AR9" i="30"/>
  <c r="AF9" i="30"/>
  <c r="AP9" i="30"/>
  <c r="Y9" i="30"/>
  <c r="R9" i="30"/>
  <c r="Q9" i="30" l="1"/>
  <c r="AJ9" i="30" s="1"/>
  <c r="P10" i="30"/>
  <c r="AF10" i="30"/>
  <c r="AC10" i="30"/>
  <c r="S10" i="30"/>
  <c r="AW10" i="30"/>
  <c r="AL10" i="30"/>
  <c r="U10" i="30"/>
  <c r="AD10" i="30"/>
  <c r="AR10" i="30"/>
  <c r="T10" i="30"/>
  <c r="AG10" i="30"/>
  <c r="AS10" i="30"/>
  <c r="AQ10" i="30"/>
  <c r="R10" i="30"/>
  <c r="AV10" i="30"/>
  <c r="AM10" i="30"/>
  <c r="AT10" i="30"/>
  <c r="AE10" i="30"/>
  <c r="AX10" i="30"/>
  <c r="AA10" i="30"/>
  <c r="AY10" i="30"/>
  <c r="AP10" i="30"/>
  <c r="Y10" i="30"/>
  <c r="AK10" i="30"/>
  <c r="AZ10" i="30"/>
  <c r="AU10" i="30"/>
  <c r="AN10" i="30"/>
  <c r="AB10" i="30"/>
  <c r="V10" i="30"/>
  <c r="X10" i="30"/>
  <c r="AO10" i="30"/>
  <c r="W10" i="30"/>
  <c r="Z10" i="30"/>
  <c r="Q10" i="30" l="1"/>
  <c r="AJ10" i="30" s="1"/>
  <c r="P11" i="30"/>
  <c r="AA11" i="30"/>
  <c r="Z11" i="30"/>
  <c r="AQ11" i="30"/>
  <c r="AL11" i="30"/>
  <c r="S11" i="30"/>
  <c r="AW11" i="30"/>
  <c r="AY11" i="30"/>
  <c r="AB11" i="30"/>
  <c r="AU11" i="30"/>
  <c r="AV11" i="30"/>
  <c r="AD11" i="30"/>
  <c r="V11" i="30"/>
  <c r="AC11" i="30"/>
  <c r="AG11" i="30"/>
  <c r="R11" i="30"/>
  <c r="U11" i="30"/>
  <c r="AR11" i="30"/>
  <c r="W11" i="30"/>
  <c r="AT11" i="30"/>
  <c r="AZ11" i="30"/>
  <c r="AN11" i="30"/>
  <c r="X11" i="30"/>
  <c r="AE11" i="30"/>
  <c r="AS11" i="30"/>
  <c r="AO11" i="30"/>
  <c r="AK11" i="30"/>
  <c r="AF11" i="30"/>
  <c r="AX11" i="30"/>
  <c r="Y11" i="30"/>
  <c r="AP11" i="30"/>
  <c r="T11" i="30"/>
  <c r="AM11" i="30"/>
  <c r="Q11" i="30" l="1"/>
  <c r="AJ11" i="30" s="1"/>
  <c r="P12" i="30"/>
  <c r="U12" i="30"/>
  <c r="Y12" i="30"/>
  <c r="AT12" i="30"/>
  <c r="AV12" i="30"/>
  <c r="AA12" i="30"/>
  <c r="AX12" i="30"/>
  <c r="AS12" i="30"/>
  <c r="AO12" i="30"/>
  <c r="X12" i="30"/>
  <c r="AR12" i="30"/>
  <c r="AY12" i="30"/>
  <c r="R12" i="30"/>
  <c r="AC12" i="30"/>
  <c r="AB12" i="30"/>
  <c r="S12" i="30"/>
  <c r="AZ12" i="30"/>
  <c r="W12" i="30"/>
  <c r="AP12" i="30"/>
  <c r="V12" i="30"/>
  <c r="AW12" i="30"/>
  <c r="AQ12" i="30"/>
  <c r="AK12" i="30"/>
  <c r="AM12" i="30"/>
  <c r="AN12" i="30"/>
  <c r="T12" i="30"/>
  <c r="AF12" i="30"/>
  <c r="AL12" i="30"/>
  <c r="AD12" i="30"/>
  <c r="AG12" i="30"/>
  <c r="AU12" i="30"/>
  <c r="AE12" i="30"/>
  <c r="Z12" i="30"/>
  <c r="Q12" i="30" l="1"/>
  <c r="AJ12" i="30" s="1"/>
  <c r="P13" i="30"/>
  <c r="X13" i="30"/>
  <c r="AG13" i="30"/>
  <c r="AO13" i="30"/>
  <c r="AW13" i="30"/>
  <c r="AA13" i="30"/>
  <c r="S13" i="30"/>
  <c r="AK13" i="30"/>
  <c r="AS13" i="30"/>
  <c r="AZ13" i="30"/>
  <c r="AV13" i="30"/>
  <c r="R13" i="30"/>
  <c r="AE13" i="30"/>
  <c r="AU13" i="30"/>
  <c r="AT13" i="30"/>
  <c r="AL13" i="30"/>
  <c r="Y13" i="30"/>
  <c r="W13" i="30"/>
  <c r="AF13" i="30"/>
  <c r="AX13" i="30"/>
  <c r="AC13" i="30"/>
  <c r="AP13" i="30"/>
  <c r="AM13" i="30"/>
  <c r="AQ13" i="30"/>
  <c r="Z13" i="30"/>
  <c r="U13" i="30"/>
  <c r="AD13" i="30"/>
  <c r="AY13" i="30"/>
  <c r="AR13" i="30"/>
  <c r="AB13" i="30"/>
  <c r="T13" i="30"/>
  <c r="V13" i="30"/>
  <c r="AN13" i="30"/>
  <c r="Q13" i="30" l="1"/>
  <c r="AJ13" i="30" s="1"/>
  <c r="P14" i="30"/>
  <c r="V14" i="30"/>
  <c r="AF14" i="30"/>
  <c r="AV14" i="30"/>
  <c r="AU14" i="30"/>
  <c r="S14" i="30"/>
  <c r="AN14" i="30"/>
  <c r="AL14" i="30"/>
  <c r="R14" i="30"/>
  <c r="AE14" i="30"/>
  <c r="AM14" i="30"/>
  <c r="X14" i="30"/>
  <c r="U14" i="30"/>
  <c r="AD14" i="30"/>
  <c r="AB14" i="30"/>
  <c r="AK14" i="30"/>
  <c r="AC14" i="30"/>
  <c r="AY14" i="30"/>
  <c r="AA14" i="30"/>
  <c r="AP14" i="30"/>
  <c r="AT14" i="30"/>
  <c r="AX14" i="30"/>
  <c r="AS14" i="30"/>
  <c r="AO14" i="30"/>
  <c r="T14" i="30"/>
  <c r="Y14" i="30"/>
  <c r="AZ14" i="30"/>
  <c r="AW14" i="30"/>
  <c r="AR14" i="30"/>
  <c r="AQ14" i="30"/>
  <c r="W14" i="30"/>
  <c r="AG14" i="30"/>
  <c r="Z14" i="30"/>
  <c r="Q14" i="30" l="1"/>
  <c r="AJ14" i="30" s="1"/>
  <c r="P15" i="30"/>
  <c r="V15" i="30"/>
  <c r="AC15" i="30"/>
  <c r="AS15" i="30"/>
  <c r="AL15" i="30"/>
  <c r="AE15" i="30"/>
  <c r="S15" i="30"/>
  <c r="AY15" i="30"/>
  <c r="AQ15" i="30"/>
  <c r="U15" i="30"/>
  <c r="AX15" i="30"/>
  <c r="Y15" i="30"/>
  <c r="AD15" i="30"/>
  <c r="T15" i="30"/>
  <c r="AG15" i="30"/>
  <c r="AR15" i="30"/>
  <c r="X15" i="30"/>
  <c r="AP15" i="30"/>
  <c r="AW15" i="30"/>
  <c r="AU15" i="30"/>
  <c r="AO15" i="30"/>
  <c r="AT15" i="30"/>
  <c r="AN15" i="30"/>
  <c r="AM15" i="30"/>
  <c r="AA15" i="30"/>
  <c r="R15" i="30"/>
  <c r="AK15" i="30"/>
  <c r="AF15" i="30"/>
  <c r="AV15" i="30"/>
  <c r="AZ15" i="30"/>
  <c r="Z15" i="30"/>
  <c r="AB15" i="30"/>
  <c r="W15" i="30"/>
  <c r="Q15" i="30" l="1"/>
  <c r="AJ15" i="30" s="1"/>
  <c r="P16" i="30"/>
  <c r="X16" i="30"/>
  <c r="AC16" i="30"/>
  <c r="AL16" i="30"/>
  <c r="AV16" i="30"/>
  <c r="AA16" i="30"/>
  <c r="S16" i="30"/>
  <c r="AS16" i="30"/>
  <c r="AE16" i="30"/>
  <c r="AK16" i="30"/>
  <c r="R16" i="30"/>
  <c r="AF16" i="30"/>
  <c r="V16" i="30"/>
  <c r="AD16" i="30"/>
  <c r="AB16" i="30"/>
  <c r="AO16" i="30"/>
  <c r="AN16" i="30"/>
  <c r="AY16" i="30"/>
  <c r="AU16" i="30"/>
  <c r="AR16" i="30"/>
  <c r="AT16" i="30"/>
  <c r="AZ16" i="30"/>
  <c r="AP16" i="30"/>
  <c r="AQ16" i="30"/>
  <c r="AM16" i="30"/>
  <c r="AW16" i="30"/>
  <c r="W16" i="30"/>
  <c r="AX16" i="30"/>
  <c r="T16" i="30"/>
  <c r="Y16" i="30"/>
  <c r="Z16" i="30"/>
  <c r="AG16" i="30"/>
  <c r="U16" i="30"/>
  <c r="Q16" i="30" l="1"/>
  <c r="AJ16" i="30" s="1"/>
  <c r="P17" i="30"/>
  <c r="W17" i="30"/>
  <c r="AC17" i="30"/>
  <c r="AQ17" i="30"/>
  <c r="AV17" i="30"/>
  <c r="S17" i="30"/>
  <c r="AW17" i="30"/>
  <c r="AU17" i="30"/>
  <c r="AE17" i="30"/>
  <c r="AZ17" i="30"/>
  <c r="R17" i="30"/>
  <c r="Y17" i="30"/>
  <c r="AA17" i="30"/>
  <c r="U17" i="30"/>
  <c r="AN17" i="30"/>
  <c r="V17" i="30"/>
  <c r="AM17" i="30"/>
  <c r="T17" i="30"/>
  <c r="AT17" i="30"/>
  <c r="AL17" i="30"/>
  <c r="X17" i="30"/>
  <c r="AR17" i="30"/>
  <c r="Z17" i="30"/>
  <c r="AK17" i="30"/>
  <c r="AF17" i="30"/>
  <c r="AB17" i="30"/>
  <c r="AY17" i="30"/>
  <c r="AP17" i="30"/>
  <c r="AG17" i="30"/>
  <c r="AD17" i="30"/>
  <c r="AX17" i="30"/>
  <c r="AO17" i="30"/>
  <c r="AS17" i="30"/>
  <c r="Q17" i="30" l="1"/>
  <c r="AJ17" i="30" s="1"/>
  <c r="P18" i="30"/>
  <c r="T18" i="30"/>
  <c r="AC18" i="30"/>
  <c r="AQ18" i="30"/>
  <c r="AU18" i="30"/>
  <c r="S18" i="30"/>
  <c r="AM18" i="30"/>
  <c r="AL18" i="30"/>
  <c r="AT18" i="30"/>
  <c r="AE18" i="30"/>
  <c r="R18" i="30"/>
  <c r="AB18" i="30"/>
  <c r="V18" i="30"/>
  <c r="AF18" i="30"/>
  <c r="AA18" i="30"/>
  <c r="AY18" i="30"/>
  <c r="AS18" i="30"/>
  <c r="AV18" i="30"/>
  <c r="AW18" i="30"/>
  <c r="AP18" i="30"/>
  <c r="AK18" i="30"/>
  <c r="AN18" i="30"/>
  <c r="AX18" i="30"/>
  <c r="AR18" i="30"/>
  <c r="AO18" i="30"/>
  <c r="W18" i="30"/>
  <c r="AG18" i="30"/>
  <c r="AZ18" i="30"/>
  <c r="X18" i="30"/>
  <c r="AD18" i="30"/>
  <c r="Z18" i="30"/>
  <c r="Y18" i="30"/>
  <c r="U18" i="30"/>
  <c r="Q18" i="30" l="1"/>
  <c r="AJ18" i="30" s="1"/>
  <c r="P19" i="30"/>
  <c r="R19" i="30"/>
  <c r="AA19" i="30"/>
  <c r="AM19" i="30"/>
  <c r="AT19" i="30"/>
  <c r="AF19" i="30"/>
  <c r="AL19" i="30"/>
  <c r="AY19" i="30"/>
  <c r="AR19" i="30"/>
  <c r="AE19" i="30"/>
  <c r="AX19" i="30"/>
  <c r="AO19" i="30"/>
  <c r="AQ19" i="30"/>
  <c r="AN19" i="30"/>
  <c r="AW19" i="30"/>
  <c r="S19" i="30"/>
  <c r="AV19" i="30"/>
  <c r="AB19" i="30"/>
  <c r="AK19" i="30"/>
  <c r="Y19" i="30"/>
  <c r="AS19" i="30"/>
  <c r="AC19" i="30"/>
  <c r="AP19" i="30"/>
  <c r="T19" i="30"/>
  <c r="AU19" i="30"/>
  <c r="X19" i="30"/>
  <c r="AG19" i="30"/>
  <c r="AZ19" i="30"/>
  <c r="Z19" i="30"/>
  <c r="AD19" i="30"/>
  <c r="W19" i="30"/>
  <c r="V19" i="30"/>
  <c r="U19" i="30"/>
  <c r="Q19" i="30" l="1"/>
  <c r="AJ19" i="30" s="1"/>
  <c r="P20" i="30"/>
  <c r="T20" i="30"/>
  <c r="AG20" i="30"/>
  <c r="AT20" i="30"/>
  <c r="AV20" i="30"/>
  <c r="AS20" i="30"/>
  <c r="Y20" i="30"/>
  <c r="AX20" i="30"/>
  <c r="AU20" i="30"/>
  <c r="AR20" i="30"/>
  <c r="AC20" i="30"/>
  <c r="AP20" i="30"/>
  <c r="AY20" i="30"/>
  <c r="X20" i="30"/>
  <c r="U20" i="30"/>
  <c r="S20" i="30"/>
  <c r="AZ20" i="30"/>
  <c r="W20" i="30"/>
  <c r="AK20" i="30"/>
  <c r="Z20" i="30"/>
  <c r="V20" i="30"/>
  <c r="AW20" i="30"/>
  <c r="AN20" i="30"/>
  <c r="AF20" i="30"/>
  <c r="AQ20" i="30"/>
  <c r="R20" i="30"/>
  <c r="AM20" i="30"/>
  <c r="AE20" i="30"/>
  <c r="AA20" i="30"/>
  <c r="AO20" i="30"/>
  <c r="AB20" i="30"/>
  <c r="AD20" i="30"/>
  <c r="AL20" i="30"/>
  <c r="Q20" i="30" l="1"/>
  <c r="AJ20" i="30" s="1"/>
  <c r="P21" i="30"/>
  <c r="AB21" i="30"/>
  <c r="AD21" i="30"/>
  <c r="AX21" i="30"/>
  <c r="AS21" i="30"/>
  <c r="S21" i="30"/>
  <c r="AU21" i="30"/>
  <c r="AV21" i="30"/>
  <c r="AM21" i="30"/>
  <c r="AZ21" i="30"/>
  <c r="AG21" i="30"/>
  <c r="AC21" i="30"/>
  <c r="AA21" i="30"/>
  <c r="U21" i="30"/>
  <c r="R21" i="30"/>
  <c r="Z21" i="30"/>
  <c r="T21" i="30"/>
  <c r="AP21" i="30"/>
  <c r="AK21" i="30"/>
  <c r="AY21" i="30"/>
  <c r="AR21" i="30"/>
  <c r="AN21" i="30"/>
  <c r="AQ21" i="30"/>
  <c r="AW21" i="30"/>
  <c r="AE21" i="30"/>
  <c r="Y21" i="30"/>
  <c r="AL21" i="30"/>
  <c r="V21" i="30"/>
  <c r="AT21" i="30"/>
  <c r="AO21" i="30"/>
  <c r="X21" i="30"/>
  <c r="W21" i="30"/>
  <c r="AF21" i="30"/>
  <c r="Q21" i="30" l="1"/>
  <c r="AJ21" i="30" s="1"/>
  <c r="P22" i="30"/>
  <c r="AV22" i="30"/>
  <c r="AU22" i="30"/>
  <c r="AB22" i="30"/>
  <c r="AG22" i="30"/>
  <c r="AK22" i="30"/>
  <c r="AA22" i="30"/>
  <c r="S22" i="30"/>
  <c r="AE22" i="30"/>
  <c r="W22" i="30"/>
  <c r="AN22" i="30"/>
  <c r="AT22" i="30"/>
  <c r="AR22" i="30"/>
  <c r="AC22" i="30"/>
  <c r="AL22" i="30"/>
  <c r="AP22" i="30"/>
  <c r="Z22" i="30"/>
  <c r="V22" i="30"/>
  <c r="AF22" i="30"/>
  <c r="R22" i="30"/>
  <c r="AX22" i="30"/>
  <c r="T22" i="30"/>
  <c r="AO22" i="30"/>
  <c r="U22" i="30"/>
  <c r="AW22" i="30"/>
  <c r="AY22" i="30"/>
  <c r="X22" i="30"/>
  <c r="AZ22" i="30"/>
  <c r="AM22" i="30"/>
  <c r="AS22" i="30"/>
  <c r="Y22" i="30"/>
  <c r="AQ22" i="30"/>
  <c r="AD22" i="30"/>
  <c r="Q22" i="30" l="1"/>
  <c r="AJ22" i="30" s="1"/>
  <c r="P23" i="30"/>
  <c r="AN23" i="30"/>
  <c r="AO23" i="30"/>
  <c r="V23" i="30"/>
  <c r="AE23" i="30"/>
  <c r="S23" i="30"/>
  <c r="AQ23" i="30"/>
  <c r="X23" i="30"/>
  <c r="Y23" i="30"/>
  <c r="W23" i="30"/>
  <c r="AS23" i="30"/>
  <c r="AY23" i="30"/>
  <c r="AF23" i="30"/>
  <c r="AR23" i="30"/>
  <c r="AZ23" i="30"/>
  <c r="AM23" i="30"/>
  <c r="U23" i="30"/>
  <c r="Z23" i="30"/>
  <c r="AV23" i="30"/>
  <c r="AL23" i="30"/>
  <c r="AB23" i="30"/>
  <c r="AD23" i="30"/>
  <c r="AU23" i="30"/>
  <c r="AW23" i="30"/>
  <c r="T23" i="30"/>
  <c r="AC23" i="30"/>
  <c r="AT23" i="30"/>
  <c r="AG23" i="30"/>
  <c r="AP23" i="30"/>
  <c r="AK23" i="30"/>
  <c r="R23" i="30"/>
  <c r="AA23" i="30"/>
  <c r="AX23" i="30"/>
  <c r="Q23" i="30" l="1"/>
  <c r="AJ23" i="30" s="1"/>
  <c r="P24" i="30"/>
  <c r="AZ24" i="30"/>
  <c r="AV24" i="30"/>
  <c r="Z24" i="30"/>
  <c r="R24" i="30"/>
  <c r="AS24" i="30"/>
  <c r="AC24" i="30"/>
  <c r="S24" i="30"/>
  <c r="AR24" i="30"/>
  <c r="AF24" i="30"/>
  <c r="AX24" i="30"/>
  <c r="X24" i="30"/>
  <c r="AE24" i="30"/>
  <c r="AG24" i="30"/>
  <c r="AK24" i="30"/>
  <c r="AB24" i="30"/>
  <c r="AT24" i="30"/>
  <c r="U24" i="30"/>
  <c r="AQ24" i="30"/>
  <c r="AY24" i="30"/>
  <c r="AM24" i="30"/>
  <c r="AO24" i="30"/>
  <c r="AL24" i="30"/>
  <c r="AN24" i="30"/>
  <c r="AW24" i="30"/>
  <c r="V24" i="30"/>
  <c r="AA24" i="30"/>
  <c r="AU24" i="30"/>
  <c r="AP24" i="30"/>
  <c r="AD24" i="30"/>
  <c r="T24" i="30"/>
  <c r="W24" i="30"/>
  <c r="Y24" i="30"/>
  <c r="Q24" i="30" l="1"/>
  <c r="AJ24" i="30" s="1"/>
  <c r="P25" i="30"/>
  <c r="AS25" i="30"/>
  <c r="AT25" i="30"/>
  <c r="Y25" i="30"/>
  <c r="R25" i="30"/>
  <c r="AW25" i="30"/>
  <c r="AN25" i="30"/>
  <c r="AE25" i="30"/>
  <c r="S25" i="30"/>
  <c r="AP25" i="30"/>
  <c r="AO25" i="30"/>
  <c r="Z25" i="30"/>
  <c r="AG25" i="30"/>
  <c r="AK25" i="30"/>
  <c r="AY25" i="30"/>
  <c r="AA25" i="30"/>
  <c r="AB25" i="30"/>
  <c r="W25" i="30"/>
  <c r="V25" i="30"/>
  <c r="X25" i="30"/>
  <c r="AR25" i="30"/>
  <c r="AL25" i="30"/>
  <c r="AF25" i="30"/>
  <c r="AD25" i="30"/>
  <c r="AV25" i="30"/>
  <c r="AU25" i="30"/>
  <c r="T25" i="30"/>
  <c r="AZ25" i="30"/>
  <c r="AC25" i="30"/>
  <c r="U25" i="30"/>
  <c r="AX25" i="30"/>
  <c r="AQ25" i="30"/>
  <c r="AM25" i="30"/>
  <c r="Q25" i="30" l="1"/>
  <c r="AJ25" i="30" s="1"/>
  <c r="P26" i="30"/>
  <c r="AP26" i="30"/>
  <c r="AU26" i="30"/>
  <c r="AG26" i="30"/>
  <c r="AA26" i="30"/>
  <c r="AT26" i="30"/>
  <c r="AL26" i="30"/>
  <c r="AE26" i="30"/>
  <c r="S26" i="30"/>
  <c r="AR26" i="30"/>
  <c r="X26" i="30"/>
  <c r="Z26" i="30"/>
  <c r="AV26" i="30"/>
  <c r="AF26" i="30"/>
  <c r="AC26" i="30"/>
  <c r="AX26" i="30"/>
  <c r="AM26" i="30"/>
  <c r="R26" i="30"/>
  <c r="AW26" i="30"/>
  <c r="U26" i="30"/>
  <c r="AN26" i="30"/>
  <c r="AS26" i="30"/>
  <c r="AD26" i="30"/>
  <c r="W26" i="30"/>
  <c r="AY26" i="30"/>
  <c r="AK26" i="30"/>
  <c r="V26" i="30"/>
  <c r="Y26" i="30"/>
  <c r="AQ26" i="30"/>
  <c r="AZ26" i="30"/>
  <c r="T26" i="30"/>
  <c r="AB26" i="30"/>
  <c r="AO26" i="30"/>
  <c r="Q26" i="30" l="1"/>
  <c r="AJ26" i="30" s="1"/>
  <c r="P27" i="30"/>
  <c r="AX27" i="30"/>
  <c r="AK27" i="30"/>
  <c r="W27" i="30"/>
  <c r="R27" i="30"/>
  <c r="AZ27" i="30"/>
  <c r="AF27" i="30"/>
  <c r="S27" i="30"/>
  <c r="AP27" i="30"/>
  <c r="T27" i="30"/>
  <c r="AG27" i="30"/>
  <c r="U27" i="30"/>
  <c r="AS27" i="30"/>
  <c r="AL27" i="30"/>
  <c r="AY27" i="30"/>
  <c r="AM27" i="30"/>
  <c r="AU27" i="30"/>
  <c r="AO27" i="30"/>
  <c r="AT27" i="30"/>
  <c r="AV27" i="30"/>
  <c r="AA27" i="30"/>
  <c r="V27" i="30"/>
  <c r="AE27" i="30"/>
  <c r="AN27" i="30"/>
  <c r="AQ27" i="30"/>
  <c r="AB27" i="30"/>
  <c r="AD27" i="30"/>
  <c r="AR27" i="30"/>
  <c r="Y27" i="30"/>
  <c r="Z27" i="30"/>
  <c r="AC27" i="30"/>
  <c r="X27" i="30"/>
  <c r="AW27" i="30"/>
  <c r="Q27" i="30" l="1"/>
  <c r="AJ27" i="30" s="1"/>
  <c r="P28" i="30"/>
  <c r="AN28" i="30"/>
  <c r="AS28" i="30"/>
  <c r="Z28" i="30"/>
  <c r="S28" i="30"/>
  <c r="AO28" i="30"/>
  <c r="AA28" i="30"/>
  <c r="AY28" i="30"/>
  <c r="AP28" i="30"/>
  <c r="AK28" i="30"/>
  <c r="W28" i="30"/>
  <c r="AZ28" i="30"/>
  <c r="T28" i="30"/>
  <c r="AV28" i="30"/>
  <c r="AX28" i="30"/>
  <c r="AR28" i="30"/>
  <c r="V28" i="30"/>
  <c r="AC28" i="30"/>
  <c r="AM28" i="30"/>
  <c r="AB28" i="30"/>
  <c r="AL28" i="30"/>
  <c r="U28" i="30"/>
  <c r="AD28" i="30"/>
  <c r="AU28" i="30"/>
  <c r="AE28" i="30"/>
  <c r="AT28" i="30"/>
  <c r="R28" i="30"/>
  <c r="AG28" i="30"/>
  <c r="X28" i="30"/>
  <c r="AF28" i="30"/>
  <c r="AW28" i="30"/>
  <c r="AQ28" i="30"/>
  <c r="Y28" i="30"/>
  <c r="Q28" i="30" l="1"/>
  <c r="AJ28" i="30" s="1"/>
  <c r="P29" i="30"/>
  <c r="AX29" i="30"/>
  <c r="AM29" i="30"/>
  <c r="Z29" i="30"/>
  <c r="T29" i="30"/>
  <c r="AL29" i="30"/>
  <c r="AC29" i="30"/>
  <c r="S29" i="30"/>
  <c r="AN29" i="30"/>
  <c r="AP29" i="30"/>
  <c r="AD29" i="30"/>
  <c r="AW29" i="30"/>
  <c r="W29" i="30"/>
  <c r="AE29" i="30"/>
  <c r="AY29" i="30"/>
  <c r="AT29" i="30"/>
  <c r="AF29" i="30"/>
  <c r="U29" i="30"/>
  <c r="AK29" i="30"/>
  <c r="AB29" i="30"/>
  <c r="AS29" i="30"/>
  <c r="R29" i="30"/>
  <c r="AV29" i="30"/>
  <c r="AU29" i="30"/>
  <c r="AQ29" i="30"/>
  <c r="V29" i="30"/>
  <c r="AA29" i="30"/>
  <c r="X29" i="30"/>
  <c r="AZ29" i="30"/>
  <c r="AR29" i="30"/>
  <c r="AG29" i="30"/>
  <c r="AO29" i="30"/>
  <c r="Y29" i="30"/>
  <c r="Q29" i="30" l="1"/>
  <c r="AJ29" i="30" s="1"/>
  <c r="P30" i="30"/>
  <c r="AP30" i="30"/>
  <c r="AU30" i="30"/>
  <c r="X30" i="30"/>
  <c r="AG30" i="30"/>
  <c r="AQ30" i="30"/>
  <c r="AL30" i="30"/>
  <c r="S30" i="30"/>
  <c r="AR30" i="30"/>
  <c r="AN30" i="30"/>
  <c r="V30" i="30"/>
  <c r="AW30" i="30"/>
  <c r="U30" i="30"/>
  <c r="AM30" i="30"/>
  <c r="T30" i="30"/>
  <c r="AV30" i="30"/>
  <c r="AZ30" i="30"/>
  <c r="AA30" i="30"/>
  <c r="AE30" i="30"/>
  <c r="AK30" i="30"/>
  <c r="AF30" i="30"/>
  <c r="AS30" i="30"/>
  <c r="AC30" i="30"/>
  <c r="AB30" i="30"/>
  <c r="AX30" i="30"/>
  <c r="AY30" i="30"/>
  <c r="AD30" i="30"/>
  <c r="Z30" i="30"/>
  <c r="AT30" i="30"/>
  <c r="R30" i="30"/>
  <c r="Y30" i="30"/>
  <c r="AO30" i="30"/>
  <c r="W30" i="30"/>
  <c r="Q30" i="30" l="1"/>
  <c r="AJ30" i="30" s="1"/>
  <c r="P31" i="30"/>
  <c r="AM31" i="30"/>
  <c r="AS31" i="30"/>
  <c r="Z31" i="30"/>
  <c r="AF31" i="30"/>
  <c r="S31" i="30"/>
  <c r="AW31" i="30"/>
  <c r="AZ31" i="30"/>
  <c r="AX31" i="30"/>
  <c r="AE31" i="30"/>
  <c r="R31" i="30"/>
  <c r="AN31" i="30"/>
  <c r="AT31" i="30"/>
  <c r="AY31" i="30"/>
  <c r="AG31" i="30"/>
  <c r="AC31" i="30"/>
  <c r="W31" i="30"/>
  <c r="AQ31" i="30"/>
  <c r="AP31" i="30"/>
  <c r="X31" i="30"/>
  <c r="Y31" i="30"/>
  <c r="AR31" i="30"/>
  <c r="AK31" i="30"/>
  <c r="AB31" i="30"/>
  <c r="AD31" i="30"/>
  <c r="AL31" i="30"/>
  <c r="V31" i="30"/>
  <c r="AU31" i="30"/>
  <c r="AA31" i="30"/>
  <c r="U31" i="30"/>
  <c r="AO31" i="30"/>
  <c r="AV31" i="30"/>
  <c r="T31" i="30"/>
  <c r="Q31" i="30" l="1"/>
  <c r="AJ31" i="30" s="1"/>
  <c r="P32" i="30"/>
  <c r="AZ32" i="30"/>
  <c r="AV32" i="30"/>
  <c r="Z32" i="30"/>
  <c r="Y32" i="30"/>
  <c r="AS32" i="30"/>
  <c r="S32" i="30"/>
  <c r="AY32" i="30"/>
  <c r="AN32" i="30"/>
  <c r="AU32" i="30"/>
  <c r="AE32" i="30"/>
  <c r="R32" i="30"/>
  <c r="AG32" i="30"/>
  <c r="AQ32" i="30"/>
  <c r="AC32" i="30"/>
  <c r="AL32" i="30"/>
  <c r="AF32" i="30"/>
  <c r="AW32" i="30"/>
  <c r="AD32" i="30"/>
  <c r="X32" i="30"/>
  <c r="AP32" i="30"/>
  <c r="T32" i="30"/>
  <c r="AT32" i="30"/>
  <c r="W32" i="30"/>
  <c r="AR32" i="30"/>
  <c r="AM32" i="30"/>
  <c r="V32" i="30"/>
  <c r="AA32" i="30"/>
  <c r="AB32" i="30"/>
  <c r="U32" i="30"/>
  <c r="AK32" i="30"/>
  <c r="AX32" i="30"/>
  <c r="AO32" i="30"/>
  <c r="Q32" i="30" l="1"/>
  <c r="AJ32" i="30" s="1"/>
  <c r="P33" i="30"/>
  <c r="AZ33" i="30"/>
  <c r="AM33" i="30"/>
  <c r="AE33" i="30"/>
  <c r="R33" i="30"/>
  <c r="AX33" i="30"/>
  <c r="Z33" i="30"/>
  <c r="S33" i="30"/>
  <c r="AS33" i="30"/>
  <c r="T33" i="30"/>
  <c r="AO33" i="30"/>
  <c r="AY33" i="30"/>
  <c r="AT33" i="30"/>
  <c r="AD33" i="30"/>
  <c r="AL33" i="30"/>
  <c r="AC33" i="30"/>
  <c r="U33" i="30"/>
  <c r="AA33" i="30"/>
  <c r="AB33" i="30"/>
  <c r="AV33" i="30"/>
  <c r="V33" i="30"/>
  <c r="AQ33" i="30"/>
  <c r="W33" i="30"/>
  <c r="AR33" i="30"/>
  <c r="AW33" i="30"/>
  <c r="X33" i="30"/>
  <c r="Y33" i="30"/>
  <c r="AP33" i="30"/>
  <c r="AK33" i="30"/>
  <c r="AU33" i="30"/>
  <c r="AF33" i="30"/>
  <c r="AN33" i="30"/>
  <c r="AG33" i="30"/>
  <c r="Q33" i="30" l="1"/>
  <c r="AJ33" i="30" s="1"/>
  <c r="P34" i="30"/>
  <c r="AR34" i="30"/>
  <c r="AU34" i="30"/>
  <c r="Z34" i="30"/>
  <c r="T34" i="30"/>
  <c r="AM34" i="30"/>
  <c r="AL34" i="30"/>
  <c r="AF34" i="30"/>
  <c r="S34" i="30"/>
  <c r="R34" i="30"/>
  <c r="AA34" i="30"/>
  <c r="AB34" i="30"/>
  <c r="AN34" i="30"/>
  <c r="AZ34" i="30"/>
  <c r="AP34" i="30"/>
  <c r="AQ34" i="30"/>
  <c r="Y34" i="30"/>
  <c r="AG34" i="30"/>
  <c r="AS34" i="30"/>
  <c r="AY34" i="30"/>
  <c r="V34" i="30"/>
  <c r="AT34" i="30"/>
  <c r="AW34" i="30"/>
  <c r="AC34" i="30"/>
  <c r="W34" i="30"/>
  <c r="AX34" i="30"/>
  <c r="AO34" i="30"/>
  <c r="AK34" i="30"/>
  <c r="U34" i="30"/>
  <c r="AV34" i="30"/>
  <c r="AD34" i="30"/>
  <c r="X34" i="30"/>
  <c r="AE34" i="30"/>
  <c r="Q34" i="30" l="1"/>
  <c r="AJ34" i="30" s="1"/>
  <c r="P35" i="30"/>
  <c r="AM35" i="30"/>
  <c r="AN35" i="30"/>
  <c r="AB35" i="30"/>
  <c r="AD35" i="30"/>
  <c r="AT35" i="30"/>
  <c r="AY35" i="30"/>
  <c r="S35" i="30"/>
  <c r="W35" i="30"/>
  <c r="AX35" i="30"/>
  <c r="V35" i="30"/>
  <c r="AG35" i="30"/>
  <c r="AE35" i="30"/>
  <c r="X35" i="30"/>
  <c r="AU35" i="30"/>
  <c r="Z35" i="30"/>
  <c r="AA35" i="30"/>
  <c r="AQ35" i="30"/>
  <c r="AZ35" i="30"/>
  <c r="Y35" i="30"/>
  <c r="AP35" i="30"/>
  <c r="R35" i="30"/>
  <c r="AR35" i="30"/>
  <c r="AS35" i="30"/>
  <c r="AC35" i="30"/>
  <c r="AL35" i="30"/>
  <c r="AO35" i="30"/>
  <c r="T35" i="30"/>
  <c r="AW35" i="30"/>
  <c r="AK35" i="30"/>
  <c r="AV35" i="30"/>
  <c r="U35" i="30"/>
  <c r="AF35" i="30"/>
  <c r="Q35" i="30" l="1"/>
  <c r="AJ35" i="30" s="1"/>
  <c r="P36" i="30"/>
  <c r="AN36" i="30"/>
  <c r="AV36" i="30"/>
  <c r="AE36" i="30"/>
  <c r="R36" i="30"/>
  <c r="AY36" i="30"/>
  <c r="Z36" i="30"/>
  <c r="S36" i="30"/>
  <c r="AC36" i="30"/>
  <c r="AQ36" i="30"/>
  <c r="AT36" i="30"/>
  <c r="AL36" i="30"/>
  <c r="AD36" i="30"/>
  <c r="AO36" i="30"/>
  <c r="V36" i="30"/>
  <c r="AS36" i="30"/>
  <c r="AB36" i="30"/>
  <c r="AA36" i="30"/>
  <c r="U36" i="30"/>
  <c r="AR36" i="30"/>
  <c r="X36" i="30"/>
  <c r="AW36" i="30"/>
  <c r="Y36" i="30"/>
  <c r="AK36" i="30"/>
  <c r="AX36" i="30"/>
  <c r="AP36" i="30"/>
  <c r="W36" i="30"/>
  <c r="AU36" i="30"/>
  <c r="AM36" i="30"/>
  <c r="AF36" i="30"/>
  <c r="AZ36" i="30"/>
  <c r="T36" i="30"/>
  <c r="AG36" i="30"/>
  <c r="Q36" i="30" l="1"/>
  <c r="AJ36" i="30" s="1"/>
  <c r="P37" i="30"/>
  <c r="AW37" i="30"/>
  <c r="AU37" i="30"/>
  <c r="Y37" i="30"/>
  <c r="R37" i="30"/>
  <c r="AV37" i="30"/>
  <c r="AT37" i="30"/>
  <c r="AE37" i="30"/>
  <c r="S37" i="30"/>
  <c r="X37" i="30"/>
  <c r="AR37" i="30"/>
  <c r="U37" i="30"/>
  <c r="AX37" i="30"/>
  <c r="AA37" i="30"/>
  <c r="T37" i="30"/>
  <c r="W37" i="30"/>
  <c r="V37" i="30"/>
  <c r="AN37" i="30"/>
  <c r="AB37" i="30"/>
  <c r="AK37" i="30"/>
  <c r="AF37" i="30"/>
  <c r="AY37" i="30"/>
  <c r="AZ37" i="30"/>
  <c r="AP37" i="30"/>
  <c r="AQ37" i="30"/>
  <c r="Z37" i="30"/>
  <c r="AS37" i="30"/>
  <c r="AC37" i="30"/>
  <c r="AO37" i="30"/>
  <c r="AL37" i="30"/>
  <c r="AM37" i="30"/>
  <c r="AD37" i="30"/>
  <c r="AG37" i="30"/>
  <c r="Q37" i="30" l="1"/>
  <c r="AJ37" i="30" s="1"/>
  <c r="P38" i="30"/>
  <c r="AK38" i="30"/>
  <c r="AU38" i="30"/>
  <c r="AB38" i="30"/>
  <c r="R38" i="30"/>
  <c r="AZ38" i="30"/>
  <c r="T38" i="30"/>
  <c r="S38" i="30"/>
  <c r="X38" i="30"/>
  <c r="AV38" i="30"/>
  <c r="AW38" i="30"/>
  <c r="AF38" i="30"/>
  <c r="AY38" i="30"/>
  <c r="AC38" i="30"/>
  <c r="AL38" i="30"/>
  <c r="AE38" i="30"/>
  <c r="V38" i="30"/>
  <c r="Z38" i="30"/>
  <c r="AT38" i="30"/>
  <c r="U38" i="30"/>
  <c r="AX38" i="30"/>
  <c r="AA38" i="30"/>
  <c r="AO38" i="30"/>
  <c r="AD38" i="30"/>
  <c r="AQ38" i="30"/>
  <c r="AP38" i="30"/>
  <c r="W38" i="30"/>
  <c r="AN38" i="30"/>
  <c r="AM38" i="30"/>
  <c r="AR38" i="30"/>
  <c r="AG38" i="30"/>
  <c r="AS38" i="30"/>
  <c r="Y38" i="30"/>
  <c r="Q38" i="30" l="1"/>
  <c r="AJ38" i="30" s="1"/>
  <c r="P39" i="30"/>
  <c r="AQ39" i="30"/>
  <c r="AV39" i="30"/>
  <c r="AB39" i="30"/>
  <c r="AD39" i="30"/>
  <c r="AY39" i="30"/>
  <c r="V39" i="30"/>
  <c r="S39" i="30"/>
  <c r="AT39" i="30"/>
  <c r="AC39" i="30"/>
  <c r="AA39" i="30"/>
  <c r="T39" i="30"/>
  <c r="AU39" i="30"/>
  <c r="AS39" i="30"/>
  <c r="AK39" i="30"/>
  <c r="U39" i="30"/>
  <c r="AP39" i="30"/>
  <c r="AM39" i="30"/>
  <c r="AO39" i="30"/>
  <c r="AL39" i="30"/>
  <c r="Y39" i="30"/>
  <c r="AR39" i="30"/>
  <c r="AF39" i="30"/>
  <c r="AN39" i="30"/>
  <c r="AX39" i="30"/>
  <c r="W39" i="30"/>
  <c r="Z39" i="30"/>
  <c r="AW39" i="30"/>
  <c r="AZ39" i="30"/>
  <c r="AG39" i="30"/>
  <c r="R39" i="30"/>
  <c r="AE39" i="30"/>
  <c r="X39" i="30"/>
  <c r="Q39" i="30" l="1"/>
  <c r="AJ39" i="30" s="1"/>
  <c r="P40" i="30"/>
  <c r="AM40" i="30"/>
  <c r="AV40" i="30"/>
  <c r="AE40" i="30"/>
  <c r="AG40" i="30"/>
  <c r="AS40" i="30"/>
  <c r="AB40" i="30"/>
  <c r="AQ40" i="30"/>
  <c r="AC40" i="30"/>
  <c r="AL40" i="30"/>
  <c r="AA40" i="30"/>
  <c r="AX40" i="30"/>
  <c r="W40" i="30"/>
  <c r="T40" i="30"/>
  <c r="AN40" i="30"/>
  <c r="V40" i="30"/>
  <c r="AT40" i="30"/>
  <c r="S40" i="30"/>
  <c r="U40" i="30"/>
  <c r="AK40" i="30"/>
  <c r="X40" i="30"/>
  <c r="AP40" i="30"/>
  <c r="AF40" i="30"/>
  <c r="AD40" i="30"/>
  <c r="R40" i="30"/>
  <c r="AZ40" i="30"/>
  <c r="AR40" i="30"/>
  <c r="AW40" i="30"/>
  <c r="AO40" i="30"/>
  <c r="AU40" i="30"/>
  <c r="Z40" i="30"/>
  <c r="AY40" i="30"/>
  <c r="Y40" i="30"/>
  <c r="Q40" i="30" l="1"/>
  <c r="AJ40" i="30" s="1"/>
  <c r="P41" i="30"/>
  <c r="AY41" i="30"/>
  <c r="AO41" i="30"/>
  <c r="X41" i="30"/>
  <c r="Y41" i="30"/>
  <c r="AT41" i="30"/>
  <c r="AK41" i="30"/>
  <c r="T41" i="30"/>
  <c r="S41" i="30"/>
  <c r="AU41" i="30"/>
  <c r="U41" i="30"/>
  <c r="AC41" i="30"/>
  <c r="AM41" i="30"/>
  <c r="AB41" i="30"/>
  <c r="AP41" i="30"/>
  <c r="AF41" i="30"/>
  <c r="Z41" i="30"/>
  <c r="AS41" i="30"/>
  <c r="AN41" i="30"/>
  <c r="AQ41" i="30"/>
  <c r="AA41" i="30"/>
  <c r="AE41" i="30"/>
  <c r="AW41" i="30"/>
  <c r="AR41" i="30"/>
  <c r="W41" i="30"/>
  <c r="AX41" i="30"/>
  <c r="AZ41" i="30"/>
  <c r="AL41" i="30"/>
  <c r="AV41" i="30"/>
  <c r="AD41" i="30"/>
  <c r="R41" i="30"/>
  <c r="AG41" i="30"/>
  <c r="V41" i="30"/>
  <c r="Q41" i="30" l="1"/>
  <c r="AJ41" i="30" s="1"/>
  <c r="P42" i="30"/>
  <c r="AN42" i="30"/>
  <c r="AU42" i="30"/>
  <c r="V42" i="30"/>
  <c r="Z42" i="30"/>
  <c r="AZ42" i="30"/>
  <c r="AL42" i="30"/>
  <c r="AG42" i="30"/>
  <c r="S42" i="30"/>
  <c r="U42" i="30"/>
  <c r="AC42" i="30"/>
  <c r="AB42" i="30"/>
  <c r="AM42" i="30"/>
  <c r="AR42" i="30"/>
  <c r="Y42" i="30"/>
  <c r="AX42" i="30"/>
  <c r="AO42" i="30"/>
  <c r="AA42" i="30"/>
  <c r="AS42" i="30"/>
  <c r="AV42" i="30"/>
  <c r="AQ42" i="30"/>
  <c r="AK42" i="30"/>
  <c r="R42" i="30"/>
  <c r="W42" i="30"/>
  <c r="X42" i="30"/>
  <c r="AF42" i="30"/>
  <c r="AW42" i="30"/>
  <c r="AD42" i="30"/>
  <c r="T42" i="30"/>
  <c r="AT42" i="30"/>
  <c r="AY42" i="30"/>
  <c r="AP42" i="30"/>
  <c r="AE42" i="30"/>
  <c r="Q42" i="30" l="1"/>
  <c r="AJ42" i="30" s="1"/>
  <c r="P43" i="30"/>
  <c r="AQ43" i="30"/>
  <c r="AL43" i="30"/>
  <c r="U43" i="30"/>
  <c r="Z43" i="30"/>
  <c r="AP43" i="30"/>
  <c r="AG43" i="30"/>
  <c r="S43" i="30"/>
  <c r="V43" i="30"/>
  <c r="AT43" i="30"/>
  <c r="AK43" i="30"/>
  <c r="AD43" i="30"/>
  <c r="R43" i="30"/>
  <c r="W43" i="30"/>
  <c r="AC43" i="30"/>
  <c r="AY43" i="30"/>
  <c r="AV43" i="30"/>
  <c r="AE43" i="30"/>
  <c r="X43" i="30"/>
  <c r="AW43" i="30"/>
  <c r="AB43" i="30"/>
  <c r="AN43" i="30"/>
  <c r="AF43" i="30"/>
  <c r="AM43" i="30"/>
  <c r="AZ43" i="30"/>
  <c r="AO43" i="30"/>
  <c r="AA43" i="30"/>
  <c r="T43" i="30"/>
  <c r="AR43" i="30"/>
  <c r="AS43" i="30"/>
  <c r="AU43" i="30"/>
  <c r="AX43" i="30"/>
  <c r="Y43" i="30"/>
  <c r="Q43" i="30" l="1"/>
  <c r="AJ43" i="30" s="1"/>
  <c r="P44" i="30"/>
  <c r="AU44" i="30"/>
  <c r="AV44" i="30"/>
  <c r="V44" i="30"/>
  <c r="Z44" i="30"/>
  <c r="AM44" i="30"/>
  <c r="W44" i="30"/>
  <c r="S44" i="30"/>
  <c r="AG44" i="30"/>
  <c r="AL44" i="30"/>
  <c r="U44" i="30"/>
  <c r="AP44" i="30"/>
  <c r="AR44" i="30"/>
  <c r="AD44" i="30"/>
  <c r="X44" i="30"/>
  <c r="Y44" i="30"/>
  <c r="AS44" i="30"/>
  <c r="AO44" i="30"/>
  <c r="AF44" i="30"/>
  <c r="AC44" i="30"/>
  <c r="AK44" i="30"/>
  <c r="AE44" i="30"/>
  <c r="AN44" i="30"/>
  <c r="AY44" i="30"/>
  <c r="AT44" i="30"/>
  <c r="AB44" i="30"/>
  <c r="AX44" i="30"/>
  <c r="AA44" i="30"/>
  <c r="T44" i="30"/>
  <c r="AW44" i="30"/>
  <c r="AQ44" i="30"/>
  <c r="AZ44" i="30"/>
  <c r="R44" i="30"/>
  <c r="Q44" i="30" l="1"/>
  <c r="AJ44" i="30" s="1"/>
  <c r="P45" i="30"/>
  <c r="AV45" i="30"/>
  <c r="AW45" i="30"/>
  <c r="V45" i="30"/>
  <c r="Z45" i="30"/>
  <c r="AK45" i="30"/>
  <c r="AA45" i="30"/>
  <c r="S45" i="30"/>
  <c r="AF45" i="30"/>
  <c r="AY45" i="30"/>
  <c r="AD45" i="30"/>
  <c r="R45" i="30"/>
  <c r="AU45" i="30"/>
  <c r="AT45" i="30"/>
  <c r="AN45" i="30"/>
  <c r="AS45" i="30"/>
  <c r="AZ45" i="30"/>
  <c r="AP45" i="30"/>
  <c r="AM45" i="30"/>
  <c r="W45" i="30"/>
  <c r="AR45" i="30"/>
  <c r="AG45" i="30"/>
  <c r="T45" i="30"/>
  <c r="AE45" i="30"/>
  <c r="AQ45" i="30"/>
  <c r="AX45" i="30"/>
  <c r="AB45" i="30"/>
  <c r="AO45" i="30"/>
  <c r="AC45" i="30"/>
  <c r="U45" i="30"/>
  <c r="Y45" i="30"/>
  <c r="X45" i="30"/>
  <c r="AL45" i="30"/>
  <c r="Q45" i="30" l="1"/>
  <c r="AJ45" i="30" s="1"/>
  <c r="P46" i="30"/>
  <c r="AQ46" i="30"/>
  <c r="AU46" i="30"/>
  <c r="W46" i="30"/>
  <c r="AG46" i="30"/>
  <c r="AM46" i="30"/>
  <c r="AD46" i="30"/>
  <c r="S46" i="30"/>
  <c r="Y46" i="30"/>
  <c r="AV46" i="30"/>
  <c r="R46" i="30"/>
  <c r="AA46" i="30"/>
  <c r="X46" i="30"/>
  <c r="U46" i="30"/>
  <c r="V46" i="30"/>
  <c r="AL46" i="30"/>
  <c r="AB46" i="30"/>
  <c r="AY46" i="30"/>
  <c r="T46" i="30"/>
  <c r="AP46" i="30"/>
  <c r="AE46" i="30"/>
  <c r="AX46" i="30"/>
  <c r="AS46" i="30"/>
  <c r="AO46" i="30"/>
  <c r="AZ46" i="30"/>
  <c r="AW46" i="30"/>
  <c r="AC46" i="30"/>
  <c r="AK46" i="30"/>
  <c r="AR46" i="30"/>
  <c r="AN46" i="30"/>
  <c r="AT46" i="30"/>
  <c r="Z46" i="30"/>
  <c r="AF46" i="30"/>
  <c r="Q46" i="30" l="1"/>
  <c r="AJ46" i="30" s="1"/>
  <c r="P47" i="30"/>
  <c r="AQ47" i="30"/>
  <c r="AL47" i="30"/>
  <c r="AE47" i="30"/>
  <c r="AC47" i="30"/>
  <c r="AP47" i="30"/>
  <c r="R47" i="30"/>
  <c r="V47" i="30"/>
  <c r="AU47" i="30"/>
  <c r="Y47" i="30"/>
  <c r="Z47" i="30"/>
  <c r="AW47" i="30"/>
  <c r="AY47" i="30"/>
  <c r="AD47" i="30"/>
  <c r="S47" i="30"/>
  <c r="AX47" i="30"/>
  <c r="AZ47" i="30"/>
  <c r="AA47" i="30"/>
  <c r="AG47" i="30"/>
  <c r="AO47" i="30"/>
  <c r="X47" i="30"/>
  <c r="AV47" i="30"/>
  <c r="AF47" i="30"/>
  <c r="W47" i="30"/>
  <c r="U47" i="30"/>
  <c r="T47" i="30"/>
  <c r="AS47" i="30"/>
  <c r="AR47" i="30"/>
  <c r="AK47" i="30"/>
  <c r="AT47" i="30"/>
  <c r="AM47" i="30"/>
  <c r="AN47" i="30"/>
  <c r="AB47" i="30"/>
  <c r="Q47" i="30" l="1"/>
  <c r="AJ47" i="30" s="1"/>
  <c r="P48" i="30"/>
  <c r="AW48" i="30"/>
  <c r="AV48" i="30"/>
  <c r="W48" i="30"/>
  <c r="AC48" i="30"/>
  <c r="AK48" i="30"/>
  <c r="AS48" i="30"/>
  <c r="U48" i="30"/>
  <c r="T48" i="30"/>
  <c r="AP48" i="30"/>
  <c r="AF48" i="30"/>
  <c r="AR48" i="30"/>
  <c r="V48" i="30"/>
  <c r="AM48" i="30"/>
  <c r="AZ48" i="30"/>
  <c r="Y48" i="30"/>
  <c r="S48" i="30"/>
  <c r="AY48" i="30"/>
  <c r="AG48" i="30"/>
  <c r="AB48" i="30"/>
  <c r="AX48" i="30"/>
  <c r="AA48" i="30"/>
  <c r="AN48" i="30"/>
  <c r="AO48" i="30"/>
  <c r="X48" i="30"/>
  <c r="AU48" i="30"/>
  <c r="AE48" i="30"/>
  <c r="AQ48" i="30"/>
  <c r="R48" i="30"/>
  <c r="AD48" i="30"/>
  <c r="AT48" i="30"/>
  <c r="AL48" i="30"/>
  <c r="Z48" i="30"/>
  <c r="Q48" i="30" l="1"/>
  <c r="AJ48" i="30" s="1"/>
  <c r="P49" i="30"/>
  <c r="AP49" i="30"/>
  <c r="AV49" i="30"/>
  <c r="T49" i="30"/>
  <c r="AC49" i="30"/>
  <c r="AW49" i="30"/>
  <c r="AN49" i="30"/>
  <c r="S49" i="30"/>
  <c r="W49" i="30"/>
  <c r="AM49" i="30"/>
  <c r="AF49" i="30"/>
  <c r="AU49" i="30"/>
  <c r="AD49" i="30"/>
  <c r="V49" i="30"/>
  <c r="AO49" i="30"/>
  <c r="AY49" i="30"/>
  <c r="U49" i="30"/>
  <c r="AL49" i="30"/>
  <c r="AT49" i="30"/>
  <c r="Y49" i="30"/>
  <c r="AR49" i="30"/>
  <c r="AE49" i="30"/>
  <c r="X49" i="30"/>
  <c r="Z49" i="30"/>
  <c r="AZ49" i="30"/>
  <c r="AS49" i="30"/>
  <c r="AB49" i="30"/>
  <c r="AQ49" i="30"/>
  <c r="AG49" i="30"/>
  <c r="R49" i="30"/>
  <c r="AX49" i="30"/>
  <c r="AA49" i="30"/>
  <c r="AK49" i="30"/>
  <c r="Q49" i="30" l="1"/>
  <c r="AJ49" i="30" s="1"/>
  <c r="P50" i="30"/>
  <c r="AQ50" i="30"/>
  <c r="AU50" i="30"/>
  <c r="U50" i="30"/>
  <c r="AC50" i="30"/>
  <c r="AM50" i="30"/>
  <c r="AL50" i="30"/>
  <c r="AA50" i="30"/>
  <c r="S50" i="30"/>
  <c r="AN50" i="30"/>
  <c r="AT50" i="30"/>
  <c r="R50" i="30"/>
  <c r="AS50" i="30"/>
  <c r="AG50" i="30"/>
  <c r="AW50" i="30"/>
  <c r="AR50" i="30"/>
  <c r="AE50" i="30"/>
  <c r="W50" i="30"/>
  <c r="AB50" i="30"/>
  <c r="AD50" i="30"/>
  <c r="AY50" i="30"/>
  <c r="Y50" i="30"/>
  <c r="V50" i="30"/>
  <c r="AX50" i="30"/>
  <c r="AO50" i="30"/>
  <c r="AZ50" i="30"/>
  <c r="X50" i="30"/>
  <c r="T50" i="30"/>
  <c r="AK50" i="30"/>
  <c r="AP50" i="30"/>
  <c r="AV50" i="30"/>
  <c r="AF50" i="30"/>
  <c r="Z50" i="30"/>
  <c r="Q50" i="30" l="1"/>
  <c r="AJ50" i="30" s="1"/>
  <c r="P51" i="30"/>
  <c r="AV51" i="30"/>
  <c r="AT51" i="30"/>
  <c r="V51" i="30"/>
  <c r="AA51" i="30"/>
  <c r="AX51" i="30"/>
  <c r="AY51" i="30"/>
  <c r="R51" i="30"/>
  <c r="S51" i="30"/>
  <c r="AN51" i="30"/>
  <c r="AF51" i="30"/>
  <c r="AZ51" i="30"/>
  <c r="Y51" i="30"/>
  <c r="AL51" i="30"/>
  <c r="AB51" i="30"/>
  <c r="AQ51" i="30"/>
  <c r="AW51" i="30"/>
  <c r="AG51" i="30"/>
  <c r="W51" i="30"/>
  <c r="AC51" i="30"/>
  <c r="AM51" i="30"/>
  <c r="X51" i="30"/>
  <c r="AE51" i="30"/>
  <c r="AO51" i="30"/>
  <c r="Z51" i="30"/>
  <c r="T51" i="30"/>
  <c r="AP51" i="30"/>
  <c r="AK51" i="30"/>
  <c r="AS51" i="30"/>
  <c r="AR51" i="30"/>
  <c r="AD51" i="30"/>
  <c r="U51" i="30"/>
  <c r="AU51" i="30"/>
  <c r="Q51" i="30" l="1"/>
  <c r="AJ51" i="30" s="1"/>
  <c r="P52" i="30"/>
  <c r="AX52" i="30"/>
  <c r="AV52" i="30"/>
  <c r="U52" i="30"/>
  <c r="AD52" i="30"/>
  <c r="AS52" i="30"/>
  <c r="X52" i="30"/>
  <c r="S52" i="30"/>
  <c r="AT52" i="30"/>
  <c r="AK52" i="30"/>
  <c r="Y52" i="30"/>
  <c r="AU52" i="30"/>
  <c r="AR52" i="30"/>
  <c r="Z52" i="30"/>
  <c r="AZ52" i="30"/>
  <c r="AE52" i="30"/>
  <c r="W52" i="30"/>
  <c r="AP52" i="30"/>
  <c r="V52" i="30"/>
  <c r="AY52" i="30"/>
  <c r="AG52" i="30"/>
  <c r="AA52" i="30"/>
  <c r="T52" i="30"/>
  <c r="AB52" i="30"/>
  <c r="R52" i="30"/>
  <c r="AW52" i="30"/>
  <c r="AN52" i="30"/>
  <c r="AC52" i="30"/>
  <c r="AO52" i="30"/>
  <c r="AM52" i="30"/>
  <c r="AQ52" i="30"/>
  <c r="AL52" i="30"/>
  <c r="AF52" i="30"/>
  <c r="Q52" i="30" l="1"/>
  <c r="AJ52" i="30" s="1"/>
  <c r="P53" i="30"/>
  <c r="AR53" i="30"/>
  <c r="AS53" i="30"/>
  <c r="U53" i="30"/>
  <c r="AD53" i="30"/>
  <c r="AN53" i="30"/>
  <c r="Y53" i="30"/>
  <c r="S53" i="30"/>
  <c r="AG53" i="30"/>
  <c r="AQ53" i="30"/>
  <c r="AM53" i="30"/>
  <c r="Z53" i="30"/>
  <c r="AP53" i="30"/>
  <c r="R53" i="30"/>
  <c r="AF53" i="30"/>
  <c r="AV53" i="30"/>
  <c r="AE53" i="30"/>
  <c r="T53" i="30"/>
  <c r="AO53" i="30"/>
  <c r="AB53" i="30"/>
  <c r="AU53" i="30"/>
  <c r="AA53" i="30"/>
  <c r="AW53" i="30"/>
  <c r="AZ53" i="30"/>
  <c r="AK53" i="30"/>
  <c r="V53" i="30"/>
  <c r="AT53" i="30"/>
  <c r="X53" i="30"/>
  <c r="AY53" i="30"/>
  <c r="AL53" i="30"/>
  <c r="AC53" i="30"/>
  <c r="AX53" i="30"/>
  <c r="W53" i="30"/>
  <c r="Q53" i="30" l="1"/>
  <c r="AJ53" i="30" s="1"/>
  <c r="P54" i="30"/>
  <c r="AR54" i="30"/>
  <c r="AU54" i="30"/>
  <c r="AB54" i="30"/>
  <c r="R54" i="30"/>
  <c r="AT54" i="30"/>
  <c r="AL54" i="30"/>
  <c r="T54" i="30"/>
  <c r="AY54" i="30"/>
  <c r="X54" i="30"/>
  <c r="AK54" i="30"/>
  <c r="V54" i="30"/>
  <c r="AN54" i="30"/>
  <c r="AV54" i="30"/>
  <c r="AF54" i="30"/>
  <c r="AM54" i="30"/>
  <c r="AD54" i="30"/>
  <c r="S54" i="30"/>
  <c r="AQ54" i="30"/>
  <c r="Y54" i="30"/>
  <c r="AE54" i="30"/>
  <c r="AX54" i="30"/>
  <c r="W54" i="30"/>
  <c r="AO54" i="30"/>
  <c r="U54" i="30"/>
  <c r="AZ54" i="30"/>
  <c r="Z54" i="30"/>
  <c r="AP54" i="30"/>
  <c r="AG54" i="30"/>
  <c r="AA54" i="30"/>
  <c r="AS54" i="30"/>
  <c r="AW54" i="30"/>
  <c r="AC54" i="30"/>
  <c r="Q54" i="30" l="1"/>
  <c r="AJ54" i="30" s="1"/>
  <c r="P55" i="30"/>
  <c r="AU55" i="30"/>
  <c r="AX55" i="30"/>
  <c r="W55" i="30"/>
  <c r="AE55" i="30"/>
  <c r="AT55" i="30"/>
  <c r="AF55" i="30"/>
  <c r="S55" i="30"/>
  <c r="U55" i="30"/>
  <c r="AQ55" i="30"/>
  <c r="AM55" i="30"/>
  <c r="V55" i="30"/>
  <c r="AW55" i="30"/>
  <c r="AR55" i="30"/>
  <c r="AY55" i="30"/>
  <c r="AD55" i="30"/>
  <c r="AO55" i="30"/>
  <c r="Z55" i="30"/>
  <c r="AV55" i="30"/>
  <c r="AG55" i="30"/>
  <c r="T55" i="30"/>
  <c r="AC55" i="30"/>
  <c r="R55" i="30"/>
  <c r="AA55" i="30"/>
  <c r="AB55" i="30"/>
  <c r="AP55" i="30"/>
  <c r="AZ55" i="30"/>
  <c r="Y55" i="30"/>
  <c r="X55" i="30"/>
  <c r="AL55" i="30"/>
  <c r="AS55" i="30"/>
  <c r="AK55" i="30"/>
  <c r="AN55" i="30"/>
  <c r="Q55" i="30" l="1"/>
  <c r="AJ55" i="30" s="1"/>
  <c r="P56" i="30"/>
  <c r="AO56" i="30"/>
  <c r="AV56" i="30"/>
  <c r="Z56" i="30"/>
  <c r="R56" i="30"/>
  <c r="AR56" i="30"/>
  <c r="AC56" i="30"/>
  <c r="S56" i="30"/>
  <c r="V56" i="30"/>
  <c r="AX56" i="30"/>
  <c r="AY56" i="30"/>
  <c r="AD56" i="30"/>
  <c r="AG56" i="30"/>
  <c r="X56" i="30"/>
  <c r="Y56" i="30"/>
  <c r="AS56" i="30"/>
  <c r="AW56" i="30"/>
  <c r="AF56" i="30"/>
  <c r="AB56" i="30"/>
  <c r="AT56" i="30"/>
  <c r="U56" i="30"/>
  <c r="AM56" i="30"/>
  <c r="AN56" i="30"/>
  <c r="AL56" i="30"/>
  <c r="AK56" i="30"/>
  <c r="AZ56" i="30"/>
  <c r="AA56" i="30"/>
  <c r="W56" i="30"/>
  <c r="AU56" i="30"/>
  <c r="AQ56" i="30"/>
  <c r="AP56" i="30"/>
  <c r="T56" i="30"/>
  <c r="AE56" i="30"/>
  <c r="Q56" i="30" l="1"/>
  <c r="AJ56" i="30" s="1"/>
  <c r="P57" i="30"/>
  <c r="AM57" i="30"/>
  <c r="AV57" i="30"/>
  <c r="Y57" i="30"/>
  <c r="R57" i="30"/>
  <c r="AN57" i="30"/>
  <c r="AE57" i="30"/>
  <c r="S57" i="30"/>
  <c r="Z57" i="30"/>
  <c r="X57" i="30"/>
  <c r="T57" i="30"/>
  <c r="AZ57" i="30"/>
  <c r="AR57" i="30"/>
  <c r="AQ57" i="30"/>
  <c r="AT57" i="30"/>
  <c r="AL57" i="30"/>
  <c r="AG57" i="30"/>
  <c r="AP57" i="30"/>
  <c r="AS57" i="30"/>
  <c r="U57" i="30"/>
  <c r="AU57" i="30"/>
  <c r="AF57" i="30"/>
  <c r="AY57" i="30"/>
  <c r="AD57" i="30"/>
  <c r="AK57" i="30"/>
  <c r="AX57" i="30"/>
  <c r="V57" i="30"/>
  <c r="AW57" i="30"/>
  <c r="AO57" i="30"/>
  <c r="AC57" i="30"/>
  <c r="AA57" i="30"/>
  <c r="AB57" i="30"/>
  <c r="W57" i="30"/>
  <c r="Q57" i="30" l="1"/>
  <c r="AJ57" i="30" s="1"/>
  <c r="P58" i="30"/>
  <c r="AS58" i="30"/>
  <c r="AU58" i="30"/>
  <c r="T58" i="30"/>
  <c r="AD58" i="30"/>
  <c r="AL58" i="30"/>
  <c r="AE58" i="30"/>
  <c r="S58" i="30"/>
  <c r="Y58" i="30"/>
  <c r="Z58" i="30"/>
  <c r="W58" i="30"/>
  <c r="U58" i="30"/>
  <c r="AX58" i="30"/>
  <c r="AO58" i="30"/>
  <c r="AY58" i="30"/>
  <c r="AR58" i="30"/>
  <c r="X58" i="30"/>
  <c r="AV58" i="30"/>
  <c r="AF58" i="30"/>
  <c r="AN58" i="30"/>
  <c r="AC58" i="30"/>
  <c r="AG58" i="30"/>
  <c r="AQ58" i="30"/>
  <c r="AB58" i="30"/>
  <c r="AZ58" i="30"/>
  <c r="AW58" i="30"/>
  <c r="V58" i="30"/>
  <c r="AK58" i="30"/>
  <c r="AP58" i="30"/>
  <c r="AM58" i="30"/>
  <c r="AT58" i="30"/>
  <c r="R58" i="30"/>
  <c r="AA58" i="30"/>
  <c r="Q58" i="30" l="1"/>
  <c r="AJ58" i="30" s="1"/>
  <c r="P59" i="30"/>
  <c r="AV59" i="30"/>
  <c r="AW59" i="30"/>
  <c r="X59" i="30"/>
  <c r="R59" i="30"/>
  <c r="AQ59" i="30"/>
  <c r="AK59" i="30"/>
  <c r="V59" i="30"/>
  <c r="S59" i="30"/>
  <c r="AD59" i="30"/>
  <c r="AP59" i="30"/>
  <c r="Z59" i="30"/>
  <c r="AF59" i="30"/>
  <c r="T59" i="30"/>
  <c r="Y59" i="30"/>
  <c r="AO59" i="30"/>
  <c r="AX59" i="30"/>
  <c r="AZ59" i="30"/>
  <c r="AN59" i="30"/>
  <c r="U59" i="30"/>
  <c r="AB59" i="30"/>
  <c r="AM59" i="30"/>
  <c r="AC59" i="30"/>
  <c r="AT59" i="30"/>
  <c r="AS59" i="30"/>
  <c r="AY59" i="30"/>
  <c r="AG59" i="30"/>
  <c r="AR59" i="30"/>
  <c r="AU59" i="30"/>
  <c r="AL59" i="30"/>
  <c r="AA59" i="30"/>
  <c r="AE59" i="30"/>
  <c r="W59" i="30"/>
  <c r="Q59" i="30" l="1"/>
  <c r="AJ59" i="30" s="1"/>
  <c r="P60" i="30"/>
  <c r="AW60" i="30"/>
  <c r="AV60" i="30"/>
  <c r="Z60" i="30"/>
  <c r="Y60" i="30"/>
  <c r="AS60" i="30"/>
  <c r="AG60" i="30"/>
  <c r="S60" i="30"/>
  <c r="AC60" i="30"/>
  <c r="T60" i="30"/>
  <c r="AO60" i="30"/>
  <c r="AP60" i="30"/>
  <c r="AD60" i="30"/>
  <c r="AX60" i="30"/>
  <c r="R60" i="30"/>
  <c r="AK60" i="30"/>
  <c r="AR60" i="30"/>
  <c r="AA60" i="30"/>
  <c r="AB60" i="30"/>
  <c r="AY60" i="30"/>
  <c r="U60" i="30"/>
  <c r="AU60" i="30"/>
  <c r="X60" i="30"/>
  <c r="AT60" i="30"/>
  <c r="W60" i="30"/>
  <c r="AN60" i="30"/>
  <c r="AZ60" i="30"/>
  <c r="V60" i="30"/>
  <c r="AL60" i="30"/>
  <c r="AM60" i="30"/>
  <c r="AF60" i="30"/>
  <c r="AQ60" i="30"/>
  <c r="AE60" i="30"/>
  <c r="Q60" i="30" l="1"/>
  <c r="AJ60" i="30" s="1"/>
  <c r="P61" i="30"/>
  <c r="AS61" i="30"/>
  <c r="AM61" i="30"/>
  <c r="AE61" i="30"/>
  <c r="T61" i="30"/>
  <c r="AK61" i="30"/>
  <c r="AL61" i="30"/>
  <c r="S61" i="30"/>
  <c r="AN61" i="30"/>
  <c r="AZ61" i="30"/>
  <c r="V61" i="30"/>
  <c r="AY61" i="30"/>
  <c r="X61" i="30"/>
  <c r="AR61" i="30"/>
  <c r="AF61" i="30"/>
  <c r="AO61" i="30"/>
  <c r="AX61" i="30"/>
  <c r="AP61" i="30"/>
  <c r="Z61" i="30"/>
  <c r="AC61" i="30"/>
  <c r="AW61" i="30"/>
  <c r="AA61" i="30"/>
  <c r="U61" i="30"/>
  <c r="AT61" i="30"/>
  <c r="AB61" i="30"/>
  <c r="AU61" i="30"/>
  <c r="AG61" i="30"/>
  <c r="R61" i="30"/>
  <c r="AV61" i="30"/>
  <c r="AQ61" i="30"/>
  <c r="AD61" i="30"/>
  <c r="W61" i="30"/>
  <c r="Y61" i="30"/>
  <c r="Q61" i="30" l="1"/>
  <c r="AJ61" i="30" s="1"/>
  <c r="P62" i="30"/>
  <c r="AM62" i="30"/>
  <c r="AU62" i="30"/>
  <c r="X62" i="30"/>
  <c r="Y62" i="30"/>
  <c r="AL62" i="30"/>
  <c r="AE62" i="30"/>
  <c r="Z62" i="30"/>
  <c r="W62" i="30"/>
  <c r="AG62" i="30"/>
  <c r="AV62" i="30"/>
  <c r="AX62" i="30"/>
  <c r="AO62" i="30"/>
  <c r="AP62" i="30"/>
  <c r="S62" i="30"/>
  <c r="AY62" i="30"/>
  <c r="AZ62" i="30"/>
  <c r="AS62" i="30"/>
  <c r="AN62" i="30"/>
  <c r="U62" i="30"/>
  <c r="AK62" i="30"/>
  <c r="AC62" i="30"/>
  <c r="AW62" i="30"/>
  <c r="AQ62" i="30"/>
  <c r="AT62" i="30"/>
  <c r="V62" i="30"/>
  <c r="AR62" i="30"/>
  <c r="AF62" i="30"/>
  <c r="R62" i="30"/>
  <c r="AA62" i="30"/>
  <c r="AB62" i="30"/>
  <c r="T62" i="30"/>
  <c r="AD62" i="30"/>
  <c r="Q62" i="30" l="1"/>
  <c r="AJ62" i="30" s="1"/>
  <c r="P63" i="30"/>
  <c r="AV63" i="30"/>
  <c r="AY63" i="30"/>
  <c r="T63" i="30"/>
  <c r="R63" i="30"/>
  <c r="AM63" i="30"/>
  <c r="AD63" i="30"/>
  <c r="S63" i="30"/>
  <c r="AB63" i="30"/>
  <c r="AU63" i="30"/>
  <c r="AG63" i="30"/>
  <c r="AW63" i="30"/>
  <c r="AA63" i="30"/>
  <c r="AR63" i="30"/>
  <c r="X63" i="30"/>
  <c r="AS63" i="30"/>
  <c r="W63" i="30"/>
  <c r="AQ63" i="30"/>
  <c r="V63" i="30"/>
  <c r="AX63" i="30"/>
  <c r="Y63" i="30"/>
  <c r="AO63" i="30"/>
  <c r="AF63" i="30"/>
  <c r="AN63" i="30"/>
  <c r="AP63" i="30"/>
  <c r="AT63" i="30"/>
  <c r="Z63" i="30"/>
  <c r="AL63" i="30"/>
  <c r="AZ63" i="30"/>
  <c r="AC63" i="30"/>
  <c r="AK63" i="30"/>
  <c r="U63" i="30"/>
  <c r="AE63" i="30"/>
  <c r="Q63" i="30" l="1"/>
  <c r="AJ63" i="30" s="1"/>
  <c r="P64" i="30"/>
  <c r="AY64" i="30"/>
  <c r="AV64" i="30"/>
  <c r="AG64" i="30"/>
  <c r="AF64" i="30"/>
  <c r="AX64" i="30"/>
  <c r="AS64" i="30"/>
  <c r="Z64" i="30"/>
  <c r="S64" i="30"/>
  <c r="AC64" i="30"/>
  <c r="AA64" i="30"/>
  <c r="AW64" i="30"/>
  <c r="AU64" i="30"/>
  <c r="AE64" i="30"/>
  <c r="AN64" i="30"/>
  <c r="AB64" i="30"/>
  <c r="R64" i="30"/>
  <c r="AT64" i="30"/>
  <c r="AQ64" i="30"/>
  <c r="X64" i="30"/>
  <c r="AL64" i="30"/>
  <c r="W64" i="30"/>
  <c r="AK64" i="30"/>
  <c r="AR64" i="30"/>
  <c r="V64" i="30"/>
  <c r="AP64" i="30"/>
  <c r="AM64" i="30"/>
  <c r="Y64" i="30"/>
  <c r="AD64" i="30"/>
  <c r="U64" i="30"/>
  <c r="AZ64" i="30"/>
  <c r="AO64" i="30"/>
  <c r="T64" i="30"/>
  <c r="Q64" i="30" l="1"/>
  <c r="AJ64" i="30" s="1"/>
  <c r="P65" i="30"/>
  <c r="AS65" i="30"/>
  <c r="AU65" i="30"/>
  <c r="AG65" i="30"/>
  <c r="AF65" i="30"/>
  <c r="AW65" i="30"/>
  <c r="AM65" i="30"/>
  <c r="Y65" i="30"/>
  <c r="S65" i="30"/>
  <c r="X65" i="30"/>
  <c r="V65" i="30"/>
  <c r="AZ65" i="30"/>
  <c r="AC65" i="30"/>
  <c r="AB65" i="30"/>
  <c r="AX65" i="30"/>
  <c r="AD65" i="30"/>
  <c r="T65" i="30"/>
  <c r="AQ65" i="30"/>
  <c r="AO65" i="30"/>
  <c r="AE65" i="30"/>
  <c r="AL65" i="30"/>
  <c r="AP65" i="30"/>
  <c r="AA65" i="30"/>
  <c r="W65" i="30"/>
  <c r="R65" i="30"/>
  <c r="AY65" i="30"/>
  <c r="AK65" i="30"/>
  <c r="Z65" i="30"/>
  <c r="U65" i="30"/>
  <c r="AV65" i="30"/>
  <c r="AT65" i="30"/>
  <c r="AR65" i="30"/>
  <c r="AN65" i="30"/>
  <c r="Q65" i="30" l="1"/>
  <c r="AJ65" i="30" s="1"/>
  <c r="P66" i="30"/>
  <c r="AS66" i="30"/>
  <c r="AP66" i="30"/>
  <c r="X66" i="30"/>
  <c r="Y66" i="30"/>
  <c r="AM66" i="30"/>
  <c r="AO66" i="30"/>
  <c r="Z66" i="30"/>
  <c r="S66" i="30"/>
  <c r="R66" i="30"/>
  <c r="V66" i="30"/>
  <c r="AV66" i="30"/>
  <c r="AW66" i="30"/>
  <c r="AF66" i="30"/>
  <c r="T66" i="30"/>
  <c r="AN66" i="30"/>
  <c r="AG66" i="30"/>
  <c r="AR66" i="30"/>
  <c r="AQ66" i="30"/>
  <c r="W66" i="30"/>
  <c r="AL66" i="30"/>
  <c r="AC66" i="30"/>
  <c r="U66" i="30"/>
  <c r="AY66" i="30"/>
  <c r="AT66" i="30"/>
  <c r="AX66" i="30"/>
  <c r="AU66" i="30"/>
  <c r="AA66" i="30"/>
  <c r="AB66" i="30"/>
  <c r="AK66" i="30"/>
  <c r="AZ66" i="30"/>
  <c r="AD66" i="30"/>
  <c r="AE66" i="30"/>
  <c r="Q66" i="30" l="1"/>
  <c r="AJ66" i="30" s="1"/>
  <c r="P67" i="30"/>
  <c r="AY67" i="30"/>
  <c r="AR67" i="30"/>
  <c r="U67" i="30"/>
  <c r="AC67" i="30"/>
  <c r="AP67" i="30"/>
  <c r="AX67" i="30"/>
  <c r="AD67" i="30"/>
  <c r="S67" i="30"/>
  <c r="AU67" i="30"/>
  <c r="Y67" i="30"/>
  <c r="AE67" i="30"/>
  <c r="AO67" i="30"/>
  <c r="AS67" i="30"/>
  <c r="V67" i="30"/>
  <c r="AL67" i="30"/>
  <c r="AW67" i="30"/>
  <c r="W67" i="30"/>
  <c r="Z67" i="30"/>
  <c r="AN67" i="30"/>
  <c r="AK67" i="30"/>
  <c r="AA67" i="30"/>
  <c r="AB67" i="30"/>
  <c r="R67" i="30"/>
  <c r="AZ67" i="30"/>
  <c r="AT67" i="30"/>
  <c r="T67" i="30"/>
  <c r="AG67" i="30"/>
  <c r="X67" i="30"/>
  <c r="AM67" i="30"/>
  <c r="AQ67" i="30"/>
  <c r="AF67" i="30"/>
  <c r="AV67" i="30"/>
  <c r="Q67" i="30" l="1"/>
  <c r="AJ67" i="30" s="1"/>
  <c r="P68" i="30"/>
  <c r="AO68" i="30"/>
  <c r="AW68" i="30"/>
  <c r="U68" i="30"/>
  <c r="AF68" i="30"/>
  <c r="AS68" i="30"/>
  <c r="AV68" i="30"/>
  <c r="X68" i="30"/>
  <c r="S68" i="30"/>
  <c r="AD68" i="30"/>
  <c r="AM68" i="30"/>
  <c r="AA68" i="30"/>
  <c r="Z68" i="30"/>
  <c r="T68" i="30"/>
  <c r="Y68" i="30"/>
  <c r="AP68" i="30"/>
  <c r="AY68" i="30"/>
  <c r="AX68" i="30"/>
  <c r="W68" i="30"/>
  <c r="AC68" i="30"/>
  <c r="AE68" i="30"/>
  <c r="AU68" i="30"/>
  <c r="AZ68" i="30"/>
  <c r="AT68" i="30"/>
  <c r="AQ68" i="30"/>
  <c r="AR68" i="30"/>
  <c r="V68" i="30"/>
  <c r="AN68" i="30"/>
  <c r="AL68" i="30"/>
  <c r="AB68" i="30"/>
  <c r="R68" i="30"/>
  <c r="AG68" i="30"/>
  <c r="AK68" i="30"/>
  <c r="Q68" i="30" l="1"/>
  <c r="AJ68" i="30" s="1"/>
  <c r="P69" i="30"/>
  <c r="AR69" i="30"/>
  <c r="AT69" i="30"/>
  <c r="U69" i="30"/>
  <c r="R69" i="30"/>
  <c r="AS69" i="30"/>
  <c r="T69" i="30"/>
  <c r="S69" i="30"/>
  <c r="AD69" i="30"/>
  <c r="AM69" i="30"/>
  <c r="AY69" i="30"/>
  <c r="AA69" i="30"/>
  <c r="AQ69" i="30"/>
  <c r="Y69" i="30"/>
  <c r="AL69" i="30"/>
  <c r="AE69" i="30"/>
  <c r="AK69" i="30"/>
  <c r="AG69" i="30"/>
  <c r="AN69" i="30"/>
  <c r="AF69" i="30"/>
  <c r="AO69" i="30"/>
  <c r="AP69" i="30"/>
  <c r="AU69" i="30"/>
  <c r="AX69" i="30"/>
  <c r="AV69" i="30"/>
  <c r="AB69" i="30"/>
  <c r="AW69" i="30"/>
  <c r="Z69" i="30"/>
  <c r="AZ69" i="30"/>
  <c r="W69" i="30"/>
  <c r="V69" i="30"/>
  <c r="AC69" i="30"/>
  <c r="X69" i="30"/>
  <c r="Q69" i="30" l="1"/>
  <c r="AJ69" i="30" s="1"/>
  <c r="P70" i="30"/>
  <c r="AN70" i="30"/>
  <c r="AU70" i="30"/>
  <c r="W70" i="30"/>
  <c r="Y70" i="30"/>
  <c r="AV70" i="30"/>
  <c r="AL70" i="30"/>
  <c r="AB70" i="30"/>
  <c r="S70" i="30"/>
  <c r="AM70" i="30"/>
  <c r="AG70" i="30"/>
  <c r="T70" i="30"/>
  <c r="R70" i="30"/>
  <c r="X70" i="30"/>
  <c r="AQ70" i="30"/>
  <c r="AY70" i="30"/>
  <c r="AX70" i="30"/>
  <c r="AK70" i="30"/>
  <c r="U70" i="30"/>
  <c r="AD70" i="30"/>
  <c r="Z70" i="30"/>
  <c r="AS70" i="30"/>
  <c r="AR70" i="30"/>
  <c r="AP70" i="30"/>
  <c r="AF70" i="30"/>
  <c r="AE70" i="30"/>
  <c r="AW70" i="30"/>
  <c r="AT70" i="30"/>
  <c r="AC70" i="30"/>
  <c r="AA70" i="30"/>
  <c r="AZ70" i="30"/>
  <c r="AO70" i="30"/>
  <c r="V70" i="30"/>
  <c r="Q70" i="30" l="1"/>
  <c r="AJ70" i="30" s="1"/>
  <c r="P71" i="30"/>
  <c r="AT71" i="30"/>
  <c r="AM71" i="30"/>
  <c r="V71" i="30"/>
  <c r="AE71" i="30"/>
  <c r="AX71" i="30"/>
  <c r="AA71" i="30"/>
  <c r="S71" i="30"/>
  <c r="AP71" i="30"/>
  <c r="Y71" i="30"/>
  <c r="AV71" i="30"/>
  <c r="AD71" i="30"/>
  <c r="AG71" i="30"/>
  <c r="AC71" i="30"/>
  <c r="AK71" i="30"/>
  <c r="R71" i="30"/>
  <c r="X71" i="30"/>
  <c r="AY71" i="30"/>
  <c r="T71" i="30"/>
  <c r="AW71" i="30"/>
  <c r="AF71" i="30"/>
  <c r="AL71" i="30"/>
  <c r="AQ71" i="30"/>
  <c r="AR71" i="30"/>
  <c r="AO71" i="30"/>
  <c r="AS71" i="30"/>
  <c r="AB71" i="30"/>
  <c r="AU71" i="30"/>
  <c r="AN71" i="30"/>
  <c r="Z71" i="30"/>
  <c r="AZ71" i="30"/>
  <c r="U71" i="30"/>
  <c r="W71" i="30"/>
  <c r="Q71" i="30" l="1"/>
  <c r="AJ71" i="30" s="1"/>
  <c r="P72" i="30"/>
  <c r="AU72" i="30"/>
  <c r="AW72" i="30"/>
  <c r="Z72" i="30"/>
  <c r="Y72" i="30"/>
  <c r="AY72" i="30"/>
  <c r="R72" i="30"/>
  <c r="S72" i="30"/>
  <c r="AE72" i="30"/>
  <c r="AB72" i="30"/>
  <c r="AO72" i="30"/>
  <c r="AK72" i="30"/>
  <c r="AL72" i="30"/>
  <c r="AS72" i="30"/>
  <c r="AV72" i="30"/>
  <c r="AQ72" i="30"/>
  <c r="AG72" i="30"/>
  <c r="T72" i="30"/>
  <c r="AR72" i="30"/>
  <c r="V72" i="30"/>
  <c r="AX72" i="30"/>
  <c r="AD72" i="30"/>
  <c r="AP72" i="30"/>
  <c r="AC72" i="30"/>
  <c r="AT72" i="30"/>
  <c r="AM72" i="30"/>
  <c r="U72" i="30"/>
  <c r="AZ72" i="30"/>
  <c r="AN72" i="30"/>
  <c r="AF72" i="30"/>
  <c r="AA72" i="30"/>
  <c r="W72" i="30"/>
  <c r="X72" i="30"/>
  <c r="Q72" i="30" l="1"/>
  <c r="AJ72" i="30" s="1"/>
  <c r="P73" i="30"/>
  <c r="AZ73" i="30"/>
  <c r="AN73" i="30"/>
  <c r="X73" i="30"/>
  <c r="T73" i="30"/>
  <c r="AX73" i="30"/>
  <c r="AL73" i="30"/>
  <c r="AG73" i="30"/>
  <c r="S73" i="30"/>
  <c r="V73" i="30"/>
  <c r="AY73" i="30"/>
  <c r="U73" i="30"/>
  <c r="AM73" i="30"/>
  <c r="AA73" i="30"/>
  <c r="Z73" i="30"/>
  <c r="AB73" i="30"/>
  <c r="W73" i="30"/>
  <c r="AW73" i="30"/>
  <c r="AP73" i="30"/>
  <c r="AS73" i="30"/>
  <c r="AD73" i="30"/>
  <c r="AT73" i="30"/>
  <c r="AF73" i="30"/>
  <c r="AO73" i="30"/>
  <c r="Y73" i="30"/>
  <c r="AU73" i="30"/>
  <c r="R73" i="30"/>
  <c r="AR73" i="30"/>
  <c r="AC73" i="30"/>
  <c r="AE73" i="30"/>
  <c r="AV73" i="30"/>
  <c r="AQ73" i="30"/>
  <c r="AK73" i="30"/>
  <c r="Q73" i="30" l="1"/>
  <c r="AJ73" i="30" s="1"/>
  <c r="P74" i="30"/>
  <c r="AV74" i="30"/>
  <c r="AU74" i="30"/>
  <c r="W74" i="30"/>
  <c r="Y74" i="30"/>
  <c r="AN74" i="30"/>
  <c r="AL74" i="30"/>
  <c r="AC74" i="30"/>
  <c r="S74" i="30"/>
  <c r="AW74" i="30"/>
  <c r="Z74" i="30"/>
  <c r="AP74" i="30"/>
  <c r="AF74" i="30"/>
  <c r="AE74" i="30"/>
  <c r="U74" i="30"/>
  <c r="AK74" i="30"/>
  <c r="AT74" i="30"/>
  <c r="T74" i="30"/>
  <c r="AD74" i="30"/>
  <c r="V74" i="30"/>
  <c r="R74" i="30"/>
  <c r="AA74" i="30"/>
  <c r="AB74" i="30"/>
  <c r="AX74" i="30"/>
  <c r="AY74" i="30"/>
  <c r="X74" i="30"/>
  <c r="AG74" i="30"/>
  <c r="AZ74" i="30"/>
  <c r="AR74" i="30"/>
  <c r="AS74" i="30"/>
  <c r="AO74" i="30"/>
  <c r="AQ74" i="30"/>
  <c r="AM74" i="30"/>
  <c r="Q74" i="30" l="1"/>
  <c r="AJ74" i="30" s="1"/>
  <c r="P75" i="30"/>
  <c r="AK75" i="30"/>
  <c r="AX75" i="30"/>
  <c r="AE75" i="30"/>
  <c r="AD75" i="30"/>
  <c r="AL75" i="30"/>
  <c r="AF75" i="30"/>
  <c r="AY75" i="30"/>
  <c r="U75" i="30"/>
  <c r="AC75" i="30"/>
  <c r="AR75" i="30"/>
  <c r="Z75" i="30"/>
  <c r="AW75" i="30"/>
  <c r="S75" i="30"/>
  <c r="AN75" i="30"/>
  <c r="AS75" i="30"/>
  <c r="AU75" i="30"/>
  <c r="AZ75" i="30"/>
  <c r="AA75" i="30"/>
  <c r="AO75" i="30"/>
  <c r="AQ75" i="30"/>
  <c r="AB75" i="30"/>
  <c r="AP75" i="30"/>
  <c r="AV75" i="30"/>
  <c r="X75" i="30"/>
  <c r="AG75" i="30"/>
  <c r="R75" i="30"/>
  <c r="T75" i="30"/>
  <c r="V75" i="30"/>
  <c r="W75" i="30"/>
  <c r="Y75" i="30"/>
  <c r="AT75" i="30"/>
  <c r="AM75" i="30"/>
  <c r="Q75" i="30" l="1"/>
  <c r="AJ75" i="30" s="1"/>
  <c r="P76" i="30"/>
  <c r="AX76" i="30"/>
  <c r="AW76" i="30"/>
  <c r="V76" i="30"/>
  <c r="Y76" i="30"/>
  <c r="AN76" i="30"/>
  <c r="AV76" i="30"/>
  <c r="AE76" i="30"/>
  <c r="S76" i="30"/>
  <c r="AK76" i="30"/>
  <c r="AG76" i="30"/>
  <c r="AQ76" i="30"/>
  <c r="U76" i="30"/>
  <c r="AU76" i="30"/>
  <c r="AO76" i="30"/>
  <c r="R76" i="30"/>
  <c r="AR76" i="30"/>
  <c r="AB76" i="30"/>
  <c r="AC76" i="30"/>
  <c r="AY76" i="30"/>
  <c r="AM76" i="30"/>
  <c r="Z76" i="30"/>
  <c r="AS76" i="30"/>
  <c r="AA76" i="30"/>
  <c r="AZ76" i="30"/>
  <c r="AT76" i="30"/>
  <c r="T76" i="30"/>
  <c r="AF76" i="30"/>
  <c r="W76" i="30"/>
  <c r="AP76" i="30"/>
  <c r="X76" i="30"/>
  <c r="AL76" i="30"/>
  <c r="AD76" i="30"/>
  <c r="Q76" i="30" l="1"/>
  <c r="AJ76" i="30" s="1"/>
  <c r="P77" i="30"/>
  <c r="AY77" i="30"/>
  <c r="AK77" i="30"/>
  <c r="W77" i="30"/>
  <c r="Y77" i="30"/>
  <c r="AL77" i="30"/>
  <c r="AB77" i="30"/>
  <c r="S77" i="30"/>
  <c r="AC77" i="30"/>
  <c r="AA77" i="30"/>
  <c r="R77" i="30"/>
  <c r="AE77" i="30"/>
  <c r="AN77" i="30"/>
  <c r="T77" i="30"/>
  <c r="AQ77" i="30"/>
  <c r="AU77" i="30"/>
  <c r="U77" i="30"/>
  <c r="AM77" i="30"/>
  <c r="AV77" i="30"/>
  <c r="AW77" i="30"/>
  <c r="AR77" i="30"/>
  <c r="X77" i="30"/>
  <c r="AS77" i="30"/>
  <c r="AD77" i="30"/>
  <c r="AX77" i="30"/>
  <c r="AT77" i="30"/>
  <c r="V77" i="30"/>
  <c r="AZ77" i="30"/>
  <c r="AP77" i="30"/>
  <c r="Z77" i="30"/>
  <c r="AF77" i="30"/>
  <c r="AG77" i="30"/>
  <c r="AO77" i="30"/>
  <c r="Q77" i="30" l="1"/>
  <c r="AJ77" i="30" s="1"/>
  <c r="P78" i="30"/>
  <c r="AP78" i="30"/>
  <c r="AU78" i="30"/>
  <c r="AD78" i="30"/>
  <c r="AC78" i="30"/>
  <c r="AO78" i="30"/>
  <c r="AL78" i="30"/>
  <c r="Z78" i="30"/>
  <c r="S78" i="30"/>
  <c r="AA78" i="30"/>
  <c r="AT78" i="30"/>
  <c r="R78" i="30"/>
  <c r="V78" i="30"/>
  <c r="AE78" i="30"/>
  <c r="AK78" i="30"/>
  <c r="AQ78" i="30"/>
  <c r="AN78" i="30"/>
  <c r="AV78" i="30"/>
  <c r="T78" i="30"/>
  <c r="AF78" i="30"/>
  <c r="AB78" i="30"/>
  <c r="AZ78" i="30"/>
  <c r="W78" i="30"/>
  <c r="U78" i="30"/>
  <c r="AM78" i="30"/>
  <c r="AS78" i="30"/>
  <c r="X78" i="30"/>
  <c r="AY78" i="30"/>
  <c r="AX78" i="30"/>
  <c r="Y78" i="30"/>
  <c r="AR78" i="30"/>
  <c r="AG78" i="30"/>
  <c r="AW78" i="30"/>
  <c r="Q78" i="30" l="1"/>
  <c r="AJ78" i="30" s="1"/>
  <c r="P79" i="30"/>
  <c r="AU79" i="30"/>
  <c r="AR79" i="30"/>
  <c r="T79" i="30"/>
  <c r="AA79" i="30"/>
  <c r="AX79" i="30"/>
  <c r="AF79" i="30"/>
  <c r="S79" i="30"/>
  <c r="AK79" i="30"/>
  <c r="R79" i="30"/>
  <c r="AC79" i="30"/>
  <c r="V79" i="30"/>
  <c r="AB79" i="30"/>
  <c r="W79" i="30"/>
  <c r="AZ79" i="30"/>
  <c r="Z79" i="30"/>
  <c r="U79" i="30"/>
  <c r="AV79" i="30"/>
  <c r="X79" i="30"/>
  <c r="AS79" i="30"/>
  <c r="AG79" i="30"/>
  <c r="AN79" i="30"/>
  <c r="Y79" i="30"/>
  <c r="AM79" i="30"/>
  <c r="AL79" i="30"/>
  <c r="AP79" i="30"/>
  <c r="AD79" i="30"/>
  <c r="AO79" i="30"/>
  <c r="AT79" i="30"/>
  <c r="AW79" i="30"/>
  <c r="AY79" i="30"/>
  <c r="AQ79" i="30"/>
  <c r="AE79" i="30"/>
  <c r="Q79" i="30" l="1"/>
  <c r="AJ79" i="30" s="1"/>
  <c r="P80" i="30"/>
  <c r="AU80" i="30"/>
  <c r="AV80" i="30"/>
  <c r="AC80" i="30"/>
  <c r="R80" i="30"/>
  <c r="AR80" i="30"/>
  <c r="AL80" i="30"/>
  <c r="V80" i="30"/>
  <c r="S80" i="30"/>
  <c r="AB80" i="30"/>
  <c r="AE80" i="30"/>
  <c r="AP80" i="30"/>
  <c r="AO80" i="30"/>
  <c r="AG80" i="30"/>
  <c r="AD80" i="30"/>
  <c r="AW80" i="30"/>
  <c r="AZ80" i="30"/>
  <c r="AM80" i="30"/>
  <c r="AN80" i="30"/>
  <c r="T80" i="30"/>
  <c r="AX80" i="30"/>
  <c r="AF80" i="30"/>
  <c r="Y80" i="30"/>
  <c r="U80" i="30"/>
  <c r="X80" i="30"/>
  <c r="AY80" i="30"/>
  <c r="AT80" i="30"/>
  <c r="W80" i="30"/>
  <c r="Z80" i="30"/>
  <c r="AK80" i="30"/>
  <c r="AS80" i="30"/>
  <c r="AQ80" i="30"/>
  <c r="AA80" i="30"/>
  <c r="Q80" i="30" l="1"/>
  <c r="AJ80" i="30" s="1"/>
  <c r="P81" i="30"/>
  <c r="AK81" i="30"/>
  <c r="AN81" i="30"/>
  <c r="V81" i="30"/>
  <c r="AA81" i="30"/>
  <c r="AM81" i="30"/>
  <c r="AL81" i="30"/>
  <c r="Y81" i="30"/>
  <c r="S81" i="30"/>
  <c r="AF81" i="30"/>
  <c r="AE81" i="30"/>
  <c r="AU81" i="30"/>
  <c r="AQ81" i="30"/>
  <c r="AD81" i="30"/>
  <c r="AR81" i="30"/>
  <c r="R81" i="30"/>
  <c r="AC81" i="30"/>
  <c r="AX81" i="30"/>
  <c r="AV81" i="30"/>
  <c r="U81" i="30"/>
  <c r="Z81" i="30"/>
  <c r="X81" i="30"/>
  <c r="AT81" i="30"/>
  <c r="AP81" i="30"/>
  <c r="AS81" i="30"/>
  <c r="AW81" i="30"/>
  <c r="AY81" i="30"/>
  <c r="AZ81" i="30"/>
  <c r="AG81" i="30"/>
  <c r="T81" i="30"/>
  <c r="AO81" i="30"/>
  <c r="W81" i="30"/>
  <c r="AB81" i="30"/>
  <c r="Q81" i="30" l="1"/>
  <c r="AJ81" i="30" s="1"/>
  <c r="P82" i="30"/>
  <c r="AN82" i="30"/>
  <c r="AU82" i="30"/>
  <c r="AE82" i="30"/>
  <c r="Y82" i="30"/>
  <c r="AL82" i="30"/>
  <c r="AD82" i="30"/>
  <c r="S82" i="30"/>
  <c r="AF82" i="30"/>
  <c r="T82" i="30"/>
  <c r="X82" i="30"/>
  <c r="AT82" i="30"/>
  <c r="AZ82" i="30"/>
  <c r="AQ82" i="30"/>
  <c r="AS82" i="30"/>
  <c r="AV82" i="30"/>
  <c r="AC82" i="30"/>
  <c r="AX82" i="30"/>
  <c r="R82" i="30"/>
  <c r="AB82" i="30"/>
  <c r="Z82" i="30"/>
  <c r="W82" i="30"/>
  <c r="AG82" i="30"/>
  <c r="V82" i="30"/>
  <c r="AO82" i="30"/>
  <c r="AK82" i="30"/>
  <c r="U82" i="30"/>
  <c r="AM82" i="30"/>
  <c r="AW82" i="30"/>
  <c r="AY82" i="30"/>
  <c r="AR82" i="30"/>
  <c r="AP82" i="30"/>
  <c r="AA82" i="30"/>
  <c r="Q82" i="30" l="1"/>
  <c r="AJ82" i="30" s="1"/>
  <c r="P83" i="30"/>
  <c r="AP83" i="30"/>
  <c r="AM83" i="30"/>
  <c r="W83" i="30"/>
  <c r="AG83" i="30"/>
  <c r="AX83" i="30"/>
  <c r="AE83" i="30"/>
  <c r="S83" i="30"/>
  <c r="AN83" i="30"/>
  <c r="AT83" i="30"/>
  <c r="R83" i="30"/>
  <c r="AC83" i="30"/>
  <c r="AZ83" i="30"/>
  <c r="AV83" i="30"/>
  <c r="AB83" i="30"/>
  <c r="AA83" i="30"/>
  <c r="AQ83" i="30"/>
  <c r="X83" i="30"/>
  <c r="AU83" i="30"/>
  <c r="AF83" i="30"/>
  <c r="AO83" i="30"/>
  <c r="Z83" i="30"/>
  <c r="AY83" i="30"/>
  <c r="AL83" i="30"/>
  <c r="U83" i="30"/>
  <c r="Y83" i="30"/>
  <c r="AK83" i="30"/>
  <c r="AD83" i="30"/>
  <c r="AS83" i="30"/>
  <c r="AW83" i="30"/>
  <c r="AR83" i="30"/>
  <c r="T83" i="30"/>
  <c r="V83" i="30"/>
  <c r="Q83" i="30" l="1"/>
  <c r="AJ83" i="30" s="1"/>
  <c r="P84" i="30"/>
  <c r="AM84" i="30"/>
  <c r="AW84" i="30"/>
  <c r="T84" i="30"/>
  <c r="Y84" i="30"/>
  <c r="AK84" i="30"/>
  <c r="AV84" i="30"/>
  <c r="AE84" i="30"/>
  <c r="AZ84" i="30"/>
  <c r="U84" i="30"/>
  <c r="Z84" i="30"/>
  <c r="AY84" i="30"/>
  <c r="R84" i="30"/>
  <c r="X84" i="30"/>
  <c r="W84" i="30"/>
  <c r="V84" i="30"/>
  <c r="AP84" i="30"/>
  <c r="S84" i="30"/>
  <c r="AS84" i="30"/>
  <c r="AL84" i="30"/>
  <c r="AU84" i="30"/>
  <c r="AD84" i="30"/>
  <c r="AT84" i="30"/>
  <c r="AC84" i="30"/>
  <c r="AO84" i="30"/>
  <c r="AQ84" i="30"/>
  <c r="AX84" i="30"/>
  <c r="AG84" i="30"/>
  <c r="AF84" i="30"/>
  <c r="AR84" i="30"/>
  <c r="AN84" i="30"/>
  <c r="AB84" i="30"/>
  <c r="AA84" i="30"/>
  <c r="Q84" i="30" l="1"/>
  <c r="AJ84" i="30" s="1"/>
  <c r="P85" i="30"/>
  <c r="AY85" i="30"/>
  <c r="AT85" i="30"/>
  <c r="AB85" i="30"/>
  <c r="R85" i="30"/>
  <c r="AX85" i="30"/>
  <c r="AL85" i="30"/>
  <c r="AF85" i="30"/>
  <c r="W85" i="30"/>
  <c r="AZ85" i="30"/>
  <c r="U85" i="30"/>
  <c r="AQ85" i="30"/>
  <c r="AU85" i="30"/>
  <c r="AG85" i="30"/>
  <c r="V85" i="30"/>
  <c r="T85" i="30"/>
  <c r="S85" i="30"/>
  <c r="X85" i="30"/>
  <c r="AK85" i="30"/>
  <c r="AM85" i="30"/>
  <c r="AN85" i="30"/>
  <c r="AS85" i="30"/>
  <c r="AC85" i="30"/>
  <c r="AW85" i="30"/>
  <c r="AR85" i="30"/>
  <c r="AA85" i="30"/>
  <c r="AP85" i="30"/>
  <c r="Y85" i="30"/>
  <c r="AV85" i="30"/>
  <c r="AD85" i="30"/>
  <c r="AE85" i="30"/>
  <c r="Z85" i="30"/>
  <c r="AO85" i="30"/>
  <c r="Q85" i="30" l="1"/>
  <c r="AJ85" i="30" s="1"/>
  <c r="P86" i="30"/>
  <c r="AP86" i="30"/>
  <c r="AU86" i="30"/>
  <c r="AF86" i="30"/>
  <c r="AC86" i="30"/>
  <c r="AR86" i="30"/>
  <c r="AL86" i="30"/>
  <c r="W86" i="30"/>
  <c r="AW86" i="30"/>
  <c r="V86" i="30"/>
  <c r="AM86" i="30"/>
  <c r="U86" i="30"/>
  <c r="AO86" i="30"/>
  <c r="Y86" i="30"/>
  <c r="AA86" i="30"/>
  <c r="R86" i="30"/>
  <c r="AG86" i="30"/>
  <c r="S86" i="30"/>
  <c r="AY86" i="30"/>
  <c r="AV86" i="30"/>
  <c r="X86" i="30"/>
  <c r="AS86" i="30"/>
  <c r="AB86" i="30"/>
  <c r="AX86" i="30"/>
  <c r="T86" i="30"/>
  <c r="AK86" i="30"/>
  <c r="Z86" i="30"/>
  <c r="AN86" i="30"/>
  <c r="AD86" i="30"/>
  <c r="AE86" i="30"/>
  <c r="AT86" i="30"/>
  <c r="AZ86" i="30"/>
  <c r="AQ86" i="30"/>
  <c r="Q86" i="30" l="1"/>
  <c r="AJ86" i="30" s="1"/>
  <c r="P87" i="30"/>
  <c r="AV87" i="30"/>
  <c r="AR87" i="30"/>
  <c r="V87" i="30"/>
  <c r="AD87" i="30"/>
  <c r="AT87" i="30"/>
  <c r="AX87" i="30"/>
  <c r="X87" i="30"/>
  <c r="S87" i="30"/>
  <c r="AB87" i="30"/>
  <c r="AC87" i="30"/>
  <c r="AU87" i="30"/>
  <c r="AO87" i="30"/>
  <c r="AE87" i="30"/>
  <c r="W87" i="30"/>
  <c r="Z87" i="30"/>
  <c r="AK87" i="30"/>
  <c r="AA87" i="30"/>
  <c r="AN87" i="30"/>
  <c r="AS87" i="30"/>
  <c r="T87" i="30"/>
  <c r="AF87" i="30"/>
  <c r="AZ87" i="30"/>
  <c r="AG87" i="30"/>
  <c r="U87" i="30"/>
  <c r="AL87" i="30"/>
  <c r="AM87" i="30"/>
  <c r="AP87" i="30"/>
  <c r="AY87" i="30"/>
  <c r="AW87" i="30"/>
  <c r="AQ87" i="30"/>
  <c r="R87" i="30"/>
  <c r="Y87" i="30"/>
  <c r="Q87" i="30" l="1"/>
  <c r="AJ87" i="30" s="1"/>
  <c r="P88" i="30"/>
  <c r="AY88" i="30"/>
  <c r="AW88" i="30"/>
  <c r="AF88" i="30"/>
  <c r="Y88" i="30"/>
  <c r="AV88" i="30"/>
  <c r="S88" i="30"/>
  <c r="AU88" i="30"/>
  <c r="U88" i="30"/>
  <c r="AR88" i="30"/>
  <c r="W88" i="30"/>
  <c r="AO88" i="30"/>
  <c r="AC88" i="30"/>
  <c r="X88" i="30"/>
  <c r="AZ88" i="30"/>
  <c r="AP88" i="30"/>
  <c r="AQ88" i="30"/>
  <c r="AA88" i="30"/>
  <c r="Z88" i="30"/>
  <c r="AK88" i="30"/>
  <c r="AD88" i="30"/>
  <c r="V88" i="30"/>
  <c r="AS88" i="30"/>
  <c r="R88" i="30"/>
  <c r="AE88" i="30"/>
  <c r="AG88" i="30"/>
  <c r="AX88" i="30"/>
  <c r="AN88" i="30"/>
  <c r="AB88" i="30"/>
  <c r="T88" i="30"/>
  <c r="AT88" i="30"/>
  <c r="AM88" i="30"/>
  <c r="AL88" i="30"/>
  <c r="Q88" i="30" l="1"/>
  <c r="AJ88" i="30" s="1"/>
  <c r="P89" i="30"/>
  <c r="AU89" i="30"/>
  <c r="AK89" i="30"/>
  <c r="U89" i="30"/>
  <c r="AC89" i="30"/>
  <c r="AL89" i="30"/>
  <c r="AA89" i="30"/>
  <c r="S89" i="30"/>
  <c r="AQ89" i="30"/>
  <c r="T89" i="30"/>
  <c r="AT89" i="30"/>
  <c r="AF89" i="30"/>
  <c r="AG89" i="30"/>
  <c r="Y89" i="30"/>
  <c r="AM89" i="30"/>
  <c r="AP89" i="30"/>
  <c r="AY89" i="30"/>
  <c r="AV89" i="30"/>
  <c r="AZ89" i="30"/>
  <c r="AO89" i="30"/>
  <c r="V89" i="30"/>
  <c r="AS89" i="30"/>
  <c r="AW89" i="30"/>
  <c r="X89" i="30"/>
  <c r="AD89" i="30"/>
  <c r="AR89" i="30"/>
  <c r="R89" i="30"/>
  <c r="W89" i="30"/>
  <c r="AB89" i="30"/>
  <c r="AE89" i="30"/>
  <c r="Z89" i="30"/>
  <c r="AN89" i="30"/>
  <c r="AX89" i="30"/>
  <c r="Q89" i="30" l="1"/>
  <c r="AJ89" i="30" s="1"/>
  <c r="P90" i="30"/>
  <c r="AR90" i="30"/>
  <c r="AU90" i="30"/>
  <c r="X90" i="30"/>
  <c r="Z90" i="30"/>
  <c r="AL90" i="30"/>
  <c r="AC90" i="30"/>
  <c r="Y90" i="30"/>
  <c r="AB90" i="30"/>
  <c r="AE90" i="30"/>
  <c r="U90" i="30"/>
  <c r="AZ90" i="30"/>
  <c r="AQ90" i="30"/>
  <c r="AP90" i="30"/>
  <c r="S90" i="30"/>
  <c r="AT90" i="30"/>
  <c r="AD90" i="30"/>
  <c r="AY90" i="30"/>
  <c r="AK90" i="30"/>
  <c r="AV90" i="30"/>
  <c r="AW90" i="30"/>
  <c r="W90" i="30"/>
  <c r="AO90" i="30"/>
  <c r="AF90" i="30"/>
  <c r="AS90" i="30"/>
  <c r="AN90" i="30"/>
  <c r="T90" i="30"/>
  <c r="AX90" i="30"/>
  <c r="AM90" i="30"/>
  <c r="AA90" i="30"/>
  <c r="AG90" i="30"/>
  <c r="R90" i="30"/>
  <c r="V90" i="30"/>
  <c r="Q90" i="30" l="1"/>
  <c r="AJ90" i="30" s="1"/>
  <c r="P91" i="30"/>
  <c r="AO91" i="30"/>
  <c r="AX91" i="30"/>
  <c r="AG91" i="30"/>
  <c r="AE91" i="30"/>
  <c r="AS91" i="30"/>
  <c r="AL91" i="30"/>
  <c r="S91" i="30"/>
  <c r="AK91" i="30"/>
  <c r="Y91" i="30"/>
  <c r="AN91" i="30"/>
  <c r="U91" i="30"/>
  <c r="AQ91" i="30"/>
  <c r="AB91" i="30"/>
  <c r="AF91" i="30"/>
  <c r="AD91" i="30"/>
  <c r="AC91" i="30"/>
  <c r="R91" i="30"/>
  <c r="AP91" i="30"/>
  <c r="AR91" i="30"/>
  <c r="AU91" i="30"/>
  <c r="AT91" i="30"/>
  <c r="AZ91" i="30"/>
  <c r="AM91" i="30"/>
  <c r="AW91" i="30"/>
  <c r="X91" i="30"/>
  <c r="AY91" i="30"/>
  <c r="AA91" i="30"/>
  <c r="AV91" i="30"/>
  <c r="Z91" i="30"/>
  <c r="W91" i="30"/>
  <c r="V91" i="30"/>
  <c r="T91" i="30"/>
  <c r="Q91" i="30" l="1"/>
  <c r="AJ91" i="30" s="1"/>
  <c r="P92" i="30"/>
  <c r="AN92" i="30"/>
  <c r="AW92" i="30"/>
  <c r="X92" i="30"/>
  <c r="AF92" i="30"/>
  <c r="AY92" i="30"/>
  <c r="AS92" i="30"/>
  <c r="AB92" i="30"/>
  <c r="S92" i="30"/>
  <c r="AV92" i="30"/>
  <c r="V92" i="30"/>
  <c r="AZ92" i="30"/>
  <c r="Y92" i="30"/>
  <c r="AQ92" i="30"/>
  <c r="AD92" i="30"/>
  <c r="T92" i="30"/>
  <c r="AP92" i="30"/>
  <c r="AX92" i="30"/>
  <c r="AA92" i="30"/>
  <c r="AU92" i="30"/>
  <c r="AO92" i="30"/>
  <c r="AG92" i="30"/>
  <c r="R92" i="30"/>
  <c r="W92" i="30"/>
  <c r="AM92" i="30"/>
  <c r="AT92" i="30"/>
  <c r="U92" i="30"/>
  <c r="AC92" i="30"/>
  <c r="Z92" i="30"/>
  <c r="AE92" i="30"/>
  <c r="AL92" i="30"/>
  <c r="AR92" i="30"/>
  <c r="AK92" i="30"/>
  <c r="Q92" i="30" l="1"/>
  <c r="AJ92" i="30" s="1"/>
  <c r="P93" i="30"/>
  <c r="AP93" i="30"/>
  <c r="AO93" i="30"/>
  <c r="W93" i="30"/>
  <c r="AD93" i="30"/>
  <c r="AY93" i="30"/>
  <c r="AL93" i="30"/>
  <c r="AF93" i="30"/>
  <c r="S93" i="30"/>
  <c r="X93" i="30"/>
  <c r="AE93" i="30"/>
  <c r="AU93" i="30"/>
  <c r="AC93" i="30"/>
  <c r="Y93" i="30"/>
  <c r="U93" i="30"/>
  <c r="AW93" i="30"/>
  <c r="AT93" i="30"/>
  <c r="AK93" i="30"/>
  <c r="AQ93" i="30"/>
  <c r="AG93" i="30"/>
  <c r="AR93" i="30"/>
  <c r="V93" i="30"/>
  <c r="T93" i="30"/>
  <c r="AM93" i="30"/>
  <c r="AB93" i="30"/>
  <c r="AS93" i="30"/>
  <c r="AN93" i="30"/>
  <c r="R93" i="30"/>
  <c r="AV93" i="30"/>
  <c r="AX93" i="30"/>
  <c r="AA93" i="30"/>
  <c r="Z93" i="30"/>
  <c r="AZ93" i="30"/>
  <c r="Q93" i="30" l="1"/>
  <c r="AJ93" i="30" s="1"/>
  <c r="P94" i="30"/>
  <c r="AX94" i="30"/>
  <c r="AU94" i="30"/>
  <c r="AF94" i="30"/>
  <c r="R94" i="30"/>
  <c r="AW94" i="30"/>
  <c r="AL94" i="30"/>
  <c r="W94" i="30"/>
  <c r="S94" i="30"/>
  <c r="AK94" i="30"/>
  <c r="AB94" i="30"/>
  <c r="T94" i="30"/>
  <c r="AD94" i="30"/>
  <c r="U94" i="30"/>
  <c r="AY94" i="30"/>
  <c r="AT94" i="30"/>
  <c r="Z94" i="30"/>
  <c r="AQ94" i="30"/>
  <c r="AR94" i="30"/>
  <c r="AM94" i="30"/>
  <c r="AC94" i="30"/>
  <c r="AE94" i="30"/>
  <c r="AZ94" i="30"/>
  <c r="X94" i="30"/>
  <c r="AV94" i="30"/>
  <c r="AP94" i="30"/>
  <c r="AA94" i="30"/>
  <c r="AO94" i="30"/>
  <c r="AN94" i="30"/>
  <c r="AG94" i="30"/>
  <c r="V94" i="30"/>
  <c r="Y94" i="30"/>
  <c r="AS94" i="30"/>
  <c r="Q94" i="30" l="1"/>
  <c r="AJ94" i="30" s="1"/>
  <c r="P95" i="30"/>
  <c r="AP95" i="30"/>
  <c r="AR95" i="30"/>
  <c r="AA95" i="30"/>
  <c r="Y95" i="30"/>
  <c r="AX95" i="30"/>
  <c r="AC95" i="30"/>
  <c r="S95" i="30"/>
  <c r="AG95" i="30"/>
  <c r="W95" i="30"/>
  <c r="AB95" i="30"/>
  <c r="AK95" i="30"/>
  <c r="AS95" i="30"/>
  <c r="AM95" i="30"/>
  <c r="AU95" i="30"/>
  <c r="AO95" i="30"/>
  <c r="AD95" i="30"/>
  <c r="AZ95" i="30"/>
  <c r="AT95" i="30"/>
  <c r="AF95" i="30"/>
  <c r="AY95" i="30"/>
  <c r="AE95" i="30"/>
  <c r="AN95" i="30"/>
  <c r="Z95" i="30"/>
  <c r="AQ95" i="30"/>
  <c r="AL95" i="30"/>
  <c r="X95" i="30"/>
  <c r="AW95" i="30"/>
  <c r="AV95" i="30"/>
  <c r="R95" i="30"/>
  <c r="U95" i="30"/>
  <c r="T95" i="30"/>
  <c r="V95" i="30"/>
  <c r="Q95" i="30" l="1"/>
  <c r="AJ95" i="30" s="1"/>
  <c r="P96" i="30"/>
  <c r="AX96" i="30"/>
  <c r="AV96" i="30"/>
  <c r="Y96" i="30"/>
  <c r="R96" i="30"/>
  <c r="AM96" i="30"/>
  <c r="AL96" i="30"/>
  <c r="U96" i="30"/>
  <c r="S96" i="30"/>
  <c r="X96" i="30"/>
  <c r="AP96" i="30"/>
  <c r="AF96" i="30"/>
  <c r="AB96" i="30"/>
  <c r="AW96" i="30"/>
  <c r="AQ96" i="30"/>
  <c r="AK96" i="30"/>
  <c r="T96" i="30"/>
  <c r="AO96" i="30"/>
  <c r="AR96" i="30"/>
  <c r="AE96" i="30"/>
  <c r="W96" i="30"/>
  <c r="AY96" i="30"/>
  <c r="AT96" i="30"/>
  <c r="AA96" i="30"/>
  <c r="AD96" i="30"/>
  <c r="AU96" i="30"/>
  <c r="AG96" i="30"/>
  <c r="AS96" i="30"/>
  <c r="AZ96" i="30"/>
  <c r="V96" i="30"/>
  <c r="Z96" i="30"/>
  <c r="AC96" i="30"/>
  <c r="AN96" i="30"/>
  <c r="Q96" i="30" l="1"/>
  <c r="AJ96" i="30" s="1"/>
  <c r="P97" i="30"/>
  <c r="AP97" i="30"/>
  <c r="AV97" i="30"/>
  <c r="U97" i="30"/>
  <c r="Y97" i="30"/>
  <c r="AW97" i="30"/>
  <c r="X97" i="30"/>
  <c r="S97" i="30"/>
  <c r="AF97" i="30"/>
  <c r="AY97" i="30"/>
  <c r="AZ97" i="30"/>
  <c r="R97" i="30"/>
  <c r="Z97" i="30"/>
  <c r="AE97" i="30"/>
  <c r="AC97" i="30"/>
  <c r="AL97" i="30"/>
  <c r="AB97" i="30"/>
  <c r="AU97" i="30"/>
  <c r="AG97" i="30"/>
  <c r="AT97" i="30"/>
  <c r="AR97" i="30"/>
  <c r="AO97" i="30"/>
  <c r="AM97" i="30"/>
  <c r="AN97" i="30"/>
  <c r="AX97" i="30"/>
  <c r="AS97" i="30"/>
  <c r="T97" i="30"/>
  <c r="AK97" i="30"/>
  <c r="AD97" i="30"/>
  <c r="AQ97" i="30"/>
  <c r="W97" i="30"/>
  <c r="AA97" i="30"/>
  <c r="V97" i="30"/>
  <c r="Q97" i="30" l="1"/>
  <c r="AJ97" i="30" s="1"/>
  <c r="P98" i="30"/>
  <c r="AX98" i="30"/>
  <c r="AU98" i="30"/>
  <c r="T98" i="30"/>
  <c r="R98" i="30"/>
  <c r="AO98" i="30"/>
  <c r="U98" i="30"/>
  <c r="S98" i="30"/>
  <c r="AM98" i="30"/>
  <c r="AA98" i="30"/>
  <c r="X98" i="30"/>
  <c r="AY98" i="30"/>
  <c r="AS98" i="30"/>
  <c r="AK98" i="30"/>
  <c r="AN98" i="30"/>
  <c r="Z98" i="30"/>
  <c r="AL98" i="30"/>
  <c r="AW98" i="30"/>
  <c r="AD98" i="30"/>
  <c r="W98" i="30"/>
  <c r="AV98" i="30"/>
  <c r="AG98" i="30"/>
  <c r="AZ98" i="30"/>
  <c r="AF98" i="30"/>
  <c r="V98" i="30"/>
  <c r="AT98" i="30"/>
  <c r="AB98" i="30"/>
  <c r="AP98" i="30"/>
  <c r="AR98" i="30"/>
  <c r="AC98" i="30"/>
  <c r="Y98" i="30"/>
  <c r="AE98" i="30"/>
  <c r="AQ98" i="30"/>
  <c r="Q98" i="30" l="1"/>
  <c r="AJ98" i="30" s="1"/>
  <c r="P99" i="30"/>
  <c r="AW99" i="30"/>
  <c r="AM99" i="30"/>
  <c r="W99" i="30"/>
  <c r="R99" i="30"/>
  <c r="AS99" i="30"/>
  <c r="AX99" i="30"/>
  <c r="Z99" i="30"/>
  <c r="S99" i="30"/>
  <c r="V99" i="30"/>
  <c r="AA99" i="30"/>
  <c r="AG99" i="30"/>
  <c r="T99" i="30"/>
  <c r="AT99" i="30"/>
  <c r="AQ99" i="30"/>
  <c r="AF99" i="30"/>
  <c r="AR99" i="30"/>
  <c r="AZ99" i="30"/>
  <c r="AU99" i="30"/>
  <c r="U99" i="30"/>
  <c r="AK99" i="30"/>
  <c r="AO99" i="30"/>
  <c r="AY99" i="30"/>
  <c r="Y99" i="30"/>
  <c r="AC99" i="30"/>
  <c r="AV99" i="30"/>
  <c r="AP99" i="30"/>
  <c r="AB99" i="30"/>
  <c r="AL99" i="30"/>
  <c r="AN99" i="30"/>
  <c r="AD99" i="30"/>
  <c r="AE99" i="30"/>
  <c r="X99" i="30"/>
  <c r="Q99" i="30" l="1"/>
  <c r="AJ99" i="30" s="1"/>
  <c r="P100" i="30"/>
  <c r="AS100" i="30"/>
  <c r="AP100" i="30"/>
  <c r="W100" i="30"/>
  <c r="Y100" i="30"/>
  <c r="AU100" i="30"/>
  <c r="AW100" i="30"/>
  <c r="AE100" i="30"/>
  <c r="S100" i="30"/>
  <c r="AM100" i="30"/>
  <c r="V100" i="30"/>
  <c r="AG100" i="30"/>
  <c r="AT100" i="30"/>
  <c r="AA100" i="30"/>
  <c r="U100" i="30"/>
  <c r="X100" i="30"/>
  <c r="AL100" i="30"/>
  <c r="AZ100" i="30"/>
  <c r="AO100" i="30"/>
  <c r="AY100" i="30"/>
  <c r="AB100" i="30"/>
  <c r="AR100" i="30"/>
  <c r="AQ100" i="30"/>
  <c r="R100" i="30"/>
  <c r="AF100" i="30"/>
  <c r="AC100" i="30"/>
  <c r="AK100" i="30"/>
  <c r="AX100" i="30"/>
  <c r="AD100" i="30"/>
  <c r="AV100" i="30"/>
  <c r="T100" i="30"/>
  <c r="AN100" i="30"/>
  <c r="Z100" i="30"/>
  <c r="Q100" i="30" l="1"/>
  <c r="AJ100" i="30" s="1"/>
  <c r="P101" i="30"/>
  <c r="AR101" i="30"/>
  <c r="AK101" i="30"/>
  <c r="W101" i="30"/>
  <c r="AC101" i="30"/>
  <c r="AP101" i="30"/>
  <c r="AL101" i="30"/>
  <c r="U101" i="30"/>
  <c r="S101" i="30"/>
  <c r="AV101" i="30"/>
  <c r="AB101" i="30"/>
  <c r="AG101" i="30"/>
  <c r="AZ101" i="30"/>
  <c r="T101" i="30"/>
  <c r="V101" i="30"/>
  <c r="AX101" i="30"/>
  <c r="AM101" i="30"/>
  <c r="AD101" i="30"/>
  <c r="AQ101" i="30"/>
  <c r="AU101" i="30"/>
  <c r="AA101" i="30"/>
  <c r="Z101" i="30"/>
  <c r="AF101" i="30"/>
  <c r="X101" i="30"/>
  <c r="AT101" i="30"/>
  <c r="AY101" i="30"/>
  <c r="AN101" i="30"/>
  <c r="R101" i="30"/>
  <c r="AS101" i="30"/>
  <c r="AO101" i="30"/>
  <c r="AW101" i="30"/>
  <c r="Y101" i="30"/>
  <c r="AE101" i="30"/>
  <c r="Q101" i="30" l="1"/>
  <c r="AJ101" i="30" s="1"/>
  <c r="P102" i="30"/>
  <c r="AS102" i="30"/>
  <c r="AU102" i="30"/>
  <c r="AB102" i="30"/>
  <c r="AG102" i="30"/>
  <c r="AE102" i="30"/>
  <c r="W102" i="30"/>
  <c r="AT102" i="30"/>
  <c r="AO102" i="30"/>
  <c r="AV102" i="30"/>
  <c r="AP102" i="30"/>
  <c r="AL102" i="30"/>
  <c r="AC102" i="30"/>
  <c r="S102" i="30"/>
  <c r="R102" i="30"/>
  <c r="Y102" i="30"/>
  <c r="T102" i="30"/>
  <c r="X102" i="30"/>
  <c r="AW102" i="30"/>
  <c r="AN102" i="30"/>
  <c r="AY102" i="30"/>
  <c r="AM102" i="30"/>
  <c r="AZ102" i="30"/>
  <c r="AQ102" i="30"/>
  <c r="AK102" i="30"/>
  <c r="AX102" i="30"/>
  <c r="U102" i="30"/>
  <c r="AD102" i="30"/>
  <c r="AR102" i="30"/>
  <c r="AA102" i="30"/>
  <c r="AF102" i="30"/>
  <c r="Z102" i="30"/>
  <c r="V102" i="30"/>
  <c r="Q102" i="30" l="1"/>
  <c r="AJ102" i="30" s="1"/>
</calcChain>
</file>

<file path=xl/sharedStrings.xml><?xml version="1.0" encoding="utf-8"?>
<sst xmlns="http://schemas.openxmlformats.org/spreadsheetml/2006/main" count="111" uniqueCount="93">
  <si>
    <t>Inductance (mH)</t>
  </si>
  <si>
    <t>mm/s</t>
  </si>
  <si>
    <t>Model</t>
  </si>
  <si>
    <t>Input Voltage</t>
  </si>
  <si>
    <t>Pulley Size</t>
  </si>
  <si>
    <t>Gear Ratio</t>
  </si>
  <si>
    <t>OMC-17HS19-2004</t>
  </si>
  <si>
    <t>OMC-17HM19-2004S</t>
  </si>
  <si>
    <t>OMC-17HM19-1684S</t>
  </si>
  <si>
    <t>LDO-42STH38-1684MAC</t>
  </si>
  <si>
    <t>Body Length</t>
  </si>
  <si>
    <t>Moons-MS17HA2P4200</t>
  </si>
  <si>
    <t>LDO-42STH48-1684MAH</t>
  </si>
  <si>
    <t>OMC-17HS16-2004S1</t>
  </si>
  <si>
    <t>LDO-42STH47-1684AC</t>
  </si>
  <si>
    <t>LDO-42STH60-2004AH</t>
  </si>
  <si>
    <t>LDO-42STH60-2004MAC (Railcore)</t>
  </si>
  <si>
    <t>OMC-14HS20-1504S</t>
  </si>
  <si>
    <t>Rotor Inertia</t>
  </si>
  <si>
    <t>Rotor Inertia (g-cm^2)</t>
  </si>
  <si>
    <t>mm/s^2</t>
  </si>
  <si>
    <t>mm</t>
  </si>
  <si>
    <t>LDO-42STH48-2004AC (VRN)</t>
  </si>
  <si>
    <t>NEMA</t>
  </si>
  <si>
    <t>MS14HA3P4150</t>
  </si>
  <si>
    <t>Moons-MS17HDBP4100</t>
  </si>
  <si>
    <t>Brand</t>
  </si>
  <si>
    <t>OMC</t>
  </si>
  <si>
    <t>LDO</t>
  </si>
  <si>
    <t>Nanotec</t>
  </si>
  <si>
    <t>Moons</t>
  </si>
  <si>
    <t>Motech</t>
  </si>
  <si>
    <t>17HS19-2004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</si>
  <si>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</si>
  <si>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</si>
  <si>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</si>
  <si>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</si>
  <si>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</si>
  <si>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</si>
  <si>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</si>
  <si>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</si>
  <si>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42STH48-2004AC (VRN)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</si>
  <si>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</si>
  <si>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</si>
  <si>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</si>
  <si>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</si>
  <si>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</si>
  <si>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</si>
  <si>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</si>
  <si>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</si>
  <si>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</si>
  <si>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</si>
  <si>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</si>
  <si>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</si>
  <si>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</si>
  <si>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</si>
  <si>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</si>
  <si>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</si>
  <si>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</si>
  <si>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</si>
  <si>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</si>
  <si>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</si>
  <si>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</si>
  <si>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</si>
  <si>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</si>
  <si>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</si>
  <si>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</si>
  <si>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</si>
  <si>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</si>
  <si>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</si>
  <si>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</si>
  <si>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</si>
  <si>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</si>
  <si>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</si>
  <si>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</si>
  <si>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</si>
  <si>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</si>
  <si>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</si>
  <si>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</si>
  <si>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LDO-42STH40-2004MAH(VRN)</t>
  </si>
  <si>
    <t>Nanotec-ST4209L1704-A</t>
  </si>
  <si>
    <t>Acceleration</t>
  </si>
  <si>
    <t>N-cm</t>
  </si>
  <si>
    <t>Torque Rotor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</si>
  <si>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</si>
  <si>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</si>
  <si>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</si>
  <si>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</si>
  <si>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</si>
  <si>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</si>
  <si>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</si>
  <si>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</si>
  <si>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Motech-MT-1704HSM168RE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</si>
</sst>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1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3.xml"/><Relationship Id="rId10" Type="http://schemas.microsoft.com/office/2006/relationships/vbaProject" Target="vbaProject.bin"/><Relationship Id="rId4" Type="http://schemas.openxmlformats.org/officeDocument/2006/relationships/worksheet" Target="worksheets/sheet2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74k, 500g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UI!$R$2</c:f>
              <c:strCache>
                <c:ptCount val="1"/>
                <c:pt idx="0">
                  <c:v>LDO-42STH60-2004AH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35.272342196639258</c:v>
                </c:pt>
                <c:pt idx="1">
                  <c:v>35.272342196639258</c:v>
                </c:pt>
                <c:pt idx="2">
                  <c:v>35.272342196639258</c:v>
                </c:pt>
                <c:pt idx="3">
                  <c:v>35.272342196639258</c:v>
                </c:pt>
                <c:pt idx="4">
                  <c:v>35.272342196639258</c:v>
                </c:pt>
                <c:pt idx="5">
                  <c:v>35.272342196639258</c:v>
                </c:pt>
                <c:pt idx="6">
                  <c:v>35.272342196639258</c:v>
                </c:pt>
                <c:pt idx="7">
                  <c:v>35.272342196639258</c:v>
                </c:pt>
                <c:pt idx="8">
                  <c:v>35.272342196639258</c:v>
                </c:pt>
                <c:pt idx="9">
                  <c:v>35.272342196639258</c:v>
                </c:pt>
                <c:pt idx="10">
                  <c:v>35.272342196639258</c:v>
                </c:pt>
                <c:pt idx="11">
                  <c:v>35.272342196639258</c:v>
                </c:pt>
                <c:pt idx="12">
                  <c:v>35.272342196639258</c:v>
                </c:pt>
                <c:pt idx="13">
                  <c:v>35.272342196639258</c:v>
                </c:pt>
                <c:pt idx="14">
                  <c:v>35.272342196639258</c:v>
                </c:pt>
                <c:pt idx="15">
                  <c:v>35.272342196639258</c:v>
                </c:pt>
                <c:pt idx="16">
                  <c:v>35.272342196639258</c:v>
                </c:pt>
                <c:pt idx="17">
                  <c:v>35.272342196639258</c:v>
                </c:pt>
                <c:pt idx="18">
                  <c:v>35.272342196639258</c:v>
                </c:pt>
                <c:pt idx="19">
                  <c:v>35.272342196639258</c:v>
                </c:pt>
                <c:pt idx="20">
                  <c:v>35.272342196639258</c:v>
                </c:pt>
                <c:pt idx="21">
                  <c:v>35.272342196639258</c:v>
                </c:pt>
                <c:pt idx="22">
                  <c:v>35.272342196639258</c:v>
                </c:pt>
                <c:pt idx="23">
                  <c:v>34.353631296687894</c:v>
                </c:pt>
                <c:pt idx="24">
                  <c:v>31.333985814460195</c:v>
                </c:pt>
                <c:pt idx="25">
                  <c:v>28.493458321822732</c:v>
                </c:pt>
                <c:pt idx="26">
                  <c:v>25.816570621169664</c:v>
                </c:pt>
                <c:pt idx="27">
                  <c:v>23.289577949493935</c:v>
                </c:pt>
                <c:pt idx="28">
                  <c:v>20.900232923891675</c:v>
                </c:pt>
                <c:pt idx="29">
                  <c:v>18.637587038656793</c:v>
                </c:pt>
                <c:pt idx="30">
                  <c:v>16.491822924641021</c:v>
                </c:pt>
                <c:pt idx="31">
                  <c:v>14.454111949101129</c:v>
                </c:pt>
                <c:pt idx="32">
                  <c:v>12.516492799519959</c:v>
                </c:pt>
                <c:pt idx="33">
                  <c:v>10.671767530332932</c:v>
                </c:pt>
                <c:pt idx="34">
                  <c:v>8.913412210916615</c:v>
                </c:pt>
                <c:pt idx="35">
                  <c:v>7.2354998368648111</c:v>
                </c:pt>
                <c:pt idx="36">
                  <c:v>5.6326335848497742</c:v>
                </c:pt>
                <c:pt idx="37">
                  <c:v>4.0998888272950715</c:v>
                </c:pt>
                <c:pt idx="38">
                  <c:v>2.6327625942994466</c:v>
                </c:pt>
                <c:pt idx="39">
                  <c:v>1.2271293903091713</c:v>
                </c:pt>
                <c:pt idx="40">
                  <c:v>-0.12079754755921357</c:v>
                </c:pt>
                <c:pt idx="41">
                  <c:v>-1.4145003157158254</c:v>
                </c:pt>
                <c:pt idx="42">
                  <c:v>-2.6571863801296338</c:v>
                </c:pt>
                <c:pt idx="43">
                  <c:v>-3.8518151276886741</c:v>
                </c:pt>
                <c:pt idx="44">
                  <c:v>-5.0011213956001468</c:v>
                </c:pt>
                <c:pt idx="45">
                  <c:v>-6.1076363726309344</c:v>
                </c:pt>
                <c:pt idx="46">
                  <c:v>-7.173706208412745</c:v>
                </c:pt>
                <c:pt idx="47">
                  <c:v>-8.2015086187597657</c:v>
                </c:pt>
                <c:pt idx="48">
                  <c:v>-9.1930677343313221</c:v>
                </c:pt>
                <c:pt idx="49">
                  <c:v>-10.150267405689693</c:v>
                </c:pt>
                <c:pt idx="50">
                  <c:v>-11.074863148775977</c:v>
                </c:pt>
                <c:pt idx="51">
                  <c:v>-11.856370674647881</c:v>
                </c:pt>
                <c:pt idx="52">
                  <c:v>-11.856370674647881</c:v>
                </c:pt>
                <c:pt idx="53">
                  <c:v>-11.856370674647881</c:v>
                </c:pt>
                <c:pt idx="54">
                  <c:v>-11.856370674647881</c:v>
                </c:pt>
                <c:pt idx="55">
                  <c:v>-11.856370674647881</c:v>
                </c:pt>
                <c:pt idx="56">
                  <c:v>-11.856370674647881</c:v>
                </c:pt>
                <c:pt idx="57">
                  <c:v>-11.856370674647881</c:v>
                </c:pt>
                <c:pt idx="58">
                  <c:v>-11.856370674647881</c:v>
                </c:pt>
                <c:pt idx="59">
                  <c:v>-11.856370674647881</c:v>
                </c:pt>
                <c:pt idx="60">
                  <c:v>-11.856370674647881</c:v>
                </c:pt>
                <c:pt idx="61">
                  <c:v>-11.856370674647881</c:v>
                </c:pt>
                <c:pt idx="62">
                  <c:v>-11.856370674647881</c:v>
                </c:pt>
                <c:pt idx="63">
                  <c:v>-11.856370674647881</c:v>
                </c:pt>
                <c:pt idx="64">
                  <c:v>-11.856370674647881</c:v>
                </c:pt>
                <c:pt idx="65">
                  <c:v>-11.856370674647881</c:v>
                </c:pt>
                <c:pt idx="66">
                  <c:v>-11.856370674647881</c:v>
                </c:pt>
                <c:pt idx="67">
                  <c:v>-11.856370674647881</c:v>
                </c:pt>
                <c:pt idx="68">
                  <c:v>-11.856370674647881</c:v>
                </c:pt>
                <c:pt idx="69">
                  <c:v>-11.856370674647881</c:v>
                </c:pt>
                <c:pt idx="70">
                  <c:v>-11.856370674647881</c:v>
                </c:pt>
                <c:pt idx="71">
                  <c:v>-11.856370674647881</c:v>
                </c:pt>
                <c:pt idx="72">
                  <c:v>-11.856370674647881</c:v>
                </c:pt>
                <c:pt idx="73">
                  <c:v>-11.856370674647881</c:v>
                </c:pt>
                <c:pt idx="74">
                  <c:v>-11.856370674647881</c:v>
                </c:pt>
                <c:pt idx="75">
                  <c:v>-11.856370674647881</c:v>
                </c:pt>
                <c:pt idx="76">
                  <c:v>-11.856370674647881</c:v>
                </c:pt>
                <c:pt idx="77">
                  <c:v>-11.856370674647881</c:v>
                </c:pt>
                <c:pt idx="78">
                  <c:v>-11.856370674647881</c:v>
                </c:pt>
                <c:pt idx="79">
                  <c:v>-11.856370674647881</c:v>
                </c:pt>
                <c:pt idx="80">
                  <c:v>-11.856370674647881</c:v>
                </c:pt>
                <c:pt idx="81">
                  <c:v>-11.856370674647881</c:v>
                </c:pt>
                <c:pt idx="82">
                  <c:v>-11.856370674647881</c:v>
                </c:pt>
                <c:pt idx="83">
                  <c:v>-11.856370674647881</c:v>
                </c:pt>
                <c:pt idx="84">
                  <c:v>-11.856370674647881</c:v>
                </c:pt>
                <c:pt idx="85">
                  <c:v>-11.856370674647881</c:v>
                </c:pt>
                <c:pt idx="86">
                  <c:v>-11.856370674647881</c:v>
                </c:pt>
                <c:pt idx="87">
                  <c:v>-11.856370674647881</c:v>
                </c:pt>
                <c:pt idx="88">
                  <c:v>-11.856370674647881</c:v>
                </c:pt>
                <c:pt idx="89">
                  <c:v>-11.856370674647881</c:v>
                </c:pt>
                <c:pt idx="90">
                  <c:v>-11.856370674647881</c:v>
                </c:pt>
                <c:pt idx="91">
                  <c:v>-11.856370674647881</c:v>
                </c:pt>
                <c:pt idx="92">
                  <c:v>-11.856370674647881</c:v>
                </c:pt>
                <c:pt idx="93">
                  <c:v>-11.856370674647881</c:v>
                </c:pt>
                <c:pt idx="94">
                  <c:v>-11.856370674647881</c:v>
                </c:pt>
                <c:pt idx="95">
                  <c:v>-11.856370674647881</c:v>
                </c:pt>
                <c:pt idx="96">
                  <c:v>-11.856370674647881</c:v>
                </c:pt>
                <c:pt idx="97">
                  <c:v>-11.856370674647881</c:v>
                </c:pt>
                <c:pt idx="98">
                  <c:v>-11.856370674647881</c:v>
                </c:pt>
                <c:pt idx="99">
                  <c:v>-11.856370674647881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1"/>
          <c:tx>
            <c:strRef>
              <c:f>UI!$S$2</c:f>
              <c:strCache>
                <c:ptCount val="1"/>
                <c:pt idx="0">
                  <c:v>Moons-MS17HDBP4100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32.095822583159247</c:v>
                </c:pt>
                <c:pt idx="1">
                  <c:v>32.095822583159247</c:v>
                </c:pt>
                <c:pt idx="2">
                  <c:v>32.095822583159247</c:v>
                </c:pt>
                <c:pt idx="3">
                  <c:v>32.095822583159247</c:v>
                </c:pt>
                <c:pt idx="4">
                  <c:v>32.095822583159247</c:v>
                </c:pt>
                <c:pt idx="5">
                  <c:v>32.095822583159247</c:v>
                </c:pt>
                <c:pt idx="6">
                  <c:v>32.095822583159247</c:v>
                </c:pt>
                <c:pt idx="7">
                  <c:v>32.095822583159247</c:v>
                </c:pt>
                <c:pt idx="8">
                  <c:v>32.095822583159247</c:v>
                </c:pt>
                <c:pt idx="9">
                  <c:v>32.095822583159247</c:v>
                </c:pt>
                <c:pt idx="10">
                  <c:v>30.215905711288666</c:v>
                </c:pt>
                <c:pt idx="11">
                  <c:v>24.850881996582405</c:v>
                </c:pt>
                <c:pt idx="12">
                  <c:v>20.08584519133105</c:v>
                </c:pt>
                <c:pt idx="13">
                  <c:v>15.82547759019927</c:v>
                </c:pt>
                <c:pt idx="14">
                  <c:v>11.993636432891606</c:v>
                </c:pt>
                <c:pt idx="15">
                  <c:v>8.5287630388200988</c:v>
                </c:pt>
                <c:pt idx="16">
                  <c:v>5.3805506440432076</c:v>
                </c:pt>
                <c:pt idx="17">
                  <c:v>2.5074859119882511</c:v>
                </c:pt>
                <c:pt idx="18">
                  <c:v>-0.12499194329873298</c:v>
                </c:pt>
                <c:pt idx="19">
                  <c:v>-2.5458881604045782</c:v>
                </c:pt>
                <c:pt idx="20">
                  <c:v>-4.7797256011841061</c:v>
                </c:pt>
                <c:pt idx="21">
                  <c:v>-6.8473784082610072</c:v>
                </c:pt>
                <c:pt idx="22">
                  <c:v>-8.7667262772030341</c:v>
                </c:pt>
                <c:pt idx="23">
                  <c:v>-10.553172817470044</c:v>
                </c:pt>
                <c:pt idx="24">
                  <c:v>-12.220059838062983</c:v>
                </c:pt>
                <c:pt idx="25">
                  <c:v>-13.779001147167682</c:v>
                </c:pt>
                <c:pt idx="26">
                  <c:v>-14.297388166487149</c:v>
                </c:pt>
                <c:pt idx="27">
                  <c:v>-14.297388166487149</c:v>
                </c:pt>
                <c:pt idx="28">
                  <c:v>-14.297388166487149</c:v>
                </c:pt>
                <c:pt idx="29">
                  <c:v>-14.297388166487149</c:v>
                </c:pt>
                <c:pt idx="30">
                  <c:v>-14.297388166487149</c:v>
                </c:pt>
                <c:pt idx="31">
                  <c:v>-14.297388166487149</c:v>
                </c:pt>
                <c:pt idx="32">
                  <c:v>-14.297388166487149</c:v>
                </c:pt>
                <c:pt idx="33">
                  <c:v>-14.297388166487149</c:v>
                </c:pt>
                <c:pt idx="34">
                  <c:v>-14.297388166487149</c:v>
                </c:pt>
                <c:pt idx="35">
                  <c:v>-14.297388166487149</c:v>
                </c:pt>
                <c:pt idx="36">
                  <c:v>-14.297388166487149</c:v>
                </c:pt>
                <c:pt idx="37">
                  <c:v>-14.297388166487149</c:v>
                </c:pt>
                <c:pt idx="38">
                  <c:v>-14.297388166487149</c:v>
                </c:pt>
                <c:pt idx="39">
                  <c:v>-14.297388166487149</c:v>
                </c:pt>
                <c:pt idx="40">
                  <c:v>-14.297388166487149</c:v>
                </c:pt>
                <c:pt idx="41">
                  <c:v>-14.297388166487149</c:v>
                </c:pt>
                <c:pt idx="42">
                  <c:v>-14.297388166487149</c:v>
                </c:pt>
                <c:pt idx="43">
                  <c:v>-14.297388166487149</c:v>
                </c:pt>
                <c:pt idx="44">
                  <c:v>-14.297388166487149</c:v>
                </c:pt>
                <c:pt idx="45">
                  <c:v>-14.297388166487149</c:v>
                </c:pt>
                <c:pt idx="46">
                  <c:v>-14.297388166487149</c:v>
                </c:pt>
                <c:pt idx="47">
                  <c:v>-14.297388166487149</c:v>
                </c:pt>
                <c:pt idx="48">
                  <c:v>-14.297388166487149</c:v>
                </c:pt>
                <c:pt idx="49">
                  <c:v>-14.297388166487149</c:v>
                </c:pt>
                <c:pt idx="50">
                  <c:v>-14.297388166487149</c:v>
                </c:pt>
                <c:pt idx="51">
                  <c:v>-14.297388166487149</c:v>
                </c:pt>
                <c:pt idx="52">
                  <c:v>-14.297388166487149</c:v>
                </c:pt>
                <c:pt idx="53">
                  <c:v>-14.297388166487149</c:v>
                </c:pt>
                <c:pt idx="54">
                  <c:v>-14.297388166487149</c:v>
                </c:pt>
                <c:pt idx="55">
                  <c:v>-14.297388166487149</c:v>
                </c:pt>
                <c:pt idx="56">
                  <c:v>-14.297388166487149</c:v>
                </c:pt>
                <c:pt idx="57">
                  <c:v>-14.297388166487149</c:v>
                </c:pt>
                <c:pt idx="58">
                  <c:v>-14.297388166487149</c:v>
                </c:pt>
                <c:pt idx="59">
                  <c:v>-14.297388166487149</c:v>
                </c:pt>
                <c:pt idx="60">
                  <c:v>-14.297388166487149</c:v>
                </c:pt>
                <c:pt idx="61">
                  <c:v>-14.297388166487149</c:v>
                </c:pt>
                <c:pt idx="62">
                  <c:v>-14.297388166487149</c:v>
                </c:pt>
                <c:pt idx="63">
                  <c:v>-14.297388166487149</c:v>
                </c:pt>
                <c:pt idx="64">
                  <c:v>-14.297388166487149</c:v>
                </c:pt>
                <c:pt idx="65">
                  <c:v>-14.297388166487149</c:v>
                </c:pt>
                <c:pt idx="66">
                  <c:v>-14.297388166487149</c:v>
                </c:pt>
                <c:pt idx="67">
                  <c:v>-14.297388166487149</c:v>
                </c:pt>
                <c:pt idx="68">
                  <c:v>-14.297388166487149</c:v>
                </c:pt>
                <c:pt idx="69">
                  <c:v>-14.297388166487149</c:v>
                </c:pt>
                <c:pt idx="70">
                  <c:v>-14.297388166487149</c:v>
                </c:pt>
                <c:pt idx="71">
                  <c:v>-14.297388166487149</c:v>
                </c:pt>
                <c:pt idx="72">
                  <c:v>-14.297388166487149</c:v>
                </c:pt>
                <c:pt idx="73">
                  <c:v>-14.297388166487149</c:v>
                </c:pt>
                <c:pt idx="74">
                  <c:v>-14.297388166487149</c:v>
                </c:pt>
                <c:pt idx="75">
                  <c:v>-14.297388166487149</c:v>
                </c:pt>
                <c:pt idx="76">
                  <c:v>-14.297388166487149</c:v>
                </c:pt>
                <c:pt idx="77">
                  <c:v>-14.297388166487149</c:v>
                </c:pt>
                <c:pt idx="78">
                  <c:v>-14.297388166487149</c:v>
                </c:pt>
                <c:pt idx="79">
                  <c:v>-14.297388166487149</c:v>
                </c:pt>
                <c:pt idx="80">
                  <c:v>-14.297388166487149</c:v>
                </c:pt>
                <c:pt idx="81">
                  <c:v>-14.297388166487149</c:v>
                </c:pt>
                <c:pt idx="82">
                  <c:v>-14.297388166487149</c:v>
                </c:pt>
                <c:pt idx="83">
                  <c:v>-14.297388166487149</c:v>
                </c:pt>
                <c:pt idx="84">
                  <c:v>-14.297388166487149</c:v>
                </c:pt>
                <c:pt idx="85">
                  <c:v>-14.297388166487149</c:v>
                </c:pt>
                <c:pt idx="86">
                  <c:v>-14.297388166487149</c:v>
                </c:pt>
                <c:pt idx="87">
                  <c:v>-14.297388166487149</c:v>
                </c:pt>
                <c:pt idx="88">
                  <c:v>-14.297388166487149</c:v>
                </c:pt>
                <c:pt idx="89">
                  <c:v>-14.297388166487149</c:v>
                </c:pt>
                <c:pt idx="90">
                  <c:v>-14.297388166487149</c:v>
                </c:pt>
                <c:pt idx="91">
                  <c:v>-14.297388166487149</c:v>
                </c:pt>
                <c:pt idx="92">
                  <c:v>-14.297388166487149</c:v>
                </c:pt>
                <c:pt idx="93">
                  <c:v>-14.297388166487149</c:v>
                </c:pt>
                <c:pt idx="94">
                  <c:v>-14.297388166487149</c:v>
                </c:pt>
                <c:pt idx="95">
                  <c:v>-14.297388166487149</c:v>
                </c:pt>
                <c:pt idx="96">
                  <c:v>-14.297388166487149</c:v>
                </c:pt>
                <c:pt idx="97">
                  <c:v>-14.297388166487149</c:v>
                </c:pt>
                <c:pt idx="98">
                  <c:v>-14.297388166487149</c:v>
                </c:pt>
                <c:pt idx="99">
                  <c:v>-14.297388166487149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2"/>
          <c:tx>
            <c:strRef>
              <c:f>UI!$T$2</c:f>
              <c:strCache>
                <c:ptCount val="1"/>
                <c:pt idx="0">
                  <c:v>OMC-17HS19-2004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23.848888794241944</c:v>
                </c:pt>
                <c:pt idx="1">
                  <c:v>23.848888794241944</c:v>
                </c:pt>
                <c:pt idx="2">
                  <c:v>23.848888794241944</c:v>
                </c:pt>
                <c:pt idx="3">
                  <c:v>23.848888794241944</c:v>
                </c:pt>
                <c:pt idx="4">
                  <c:v>23.848888794241944</c:v>
                </c:pt>
                <c:pt idx="5">
                  <c:v>23.848888794241944</c:v>
                </c:pt>
                <c:pt idx="6">
                  <c:v>23.848888794241944</c:v>
                </c:pt>
                <c:pt idx="7">
                  <c:v>23.848888794241944</c:v>
                </c:pt>
                <c:pt idx="8">
                  <c:v>23.848888794241944</c:v>
                </c:pt>
                <c:pt idx="9">
                  <c:v>23.848888794241944</c:v>
                </c:pt>
                <c:pt idx="10">
                  <c:v>23.848888794241944</c:v>
                </c:pt>
                <c:pt idx="11">
                  <c:v>23.848888794241944</c:v>
                </c:pt>
                <c:pt idx="12">
                  <c:v>23.848888794241944</c:v>
                </c:pt>
                <c:pt idx="13">
                  <c:v>23.848888794241944</c:v>
                </c:pt>
                <c:pt idx="14">
                  <c:v>23.848888794241944</c:v>
                </c:pt>
                <c:pt idx="15">
                  <c:v>23.848888794241944</c:v>
                </c:pt>
                <c:pt idx="16">
                  <c:v>23.848888794241944</c:v>
                </c:pt>
                <c:pt idx="17">
                  <c:v>23.848888794241944</c:v>
                </c:pt>
                <c:pt idx="18">
                  <c:v>23.848888794241944</c:v>
                </c:pt>
                <c:pt idx="19">
                  <c:v>23.848888794241944</c:v>
                </c:pt>
                <c:pt idx="20">
                  <c:v>23.848888794241944</c:v>
                </c:pt>
                <c:pt idx="21">
                  <c:v>23.848888794241944</c:v>
                </c:pt>
                <c:pt idx="22">
                  <c:v>23.848888794241944</c:v>
                </c:pt>
                <c:pt idx="23">
                  <c:v>23.848888794241944</c:v>
                </c:pt>
                <c:pt idx="24">
                  <c:v>23.848888794241944</c:v>
                </c:pt>
                <c:pt idx="25">
                  <c:v>23.848888794241944</c:v>
                </c:pt>
                <c:pt idx="26">
                  <c:v>23.848888794241944</c:v>
                </c:pt>
                <c:pt idx="27">
                  <c:v>23.848888794241944</c:v>
                </c:pt>
                <c:pt idx="28">
                  <c:v>23.848888794241944</c:v>
                </c:pt>
                <c:pt idx="29">
                  <c:v>23.848888794241944</c:v>
                </c:pt>
                <c:pt idx="30">
                  <c:v>23.644777165957954</c:v>
                </c:pt>
                <c:pt idx="31">
                  <c:v>22.005603382506678</c:v>
                </c:pt>
                <c:pt idx="32">
                  <c:v>20.450615078803892</c:v>
                </c:pt>
                <c:pt idx="33">
                  <c:v>18.973489169037066</c:v>
                </c:pt>
                <c:pt idx="34">
                  <c:v>17.568520328326024</c:v>
                </c:pt>
                <c:pt idx="35">
                  <c:v>16.230547347984448</c:v>
                </c:pt>
                <c:pt idx="36">
                  <c:v>14.954889780680366</c:v>
                </c:pt>
                <c:pt idx="37">
                  <c:v>13.737293236304085</c:v>
                </c:pt>
                <c:pt idx="38">
                  <c:v>12.573881981140088</c:v>
                </c:pt>
                <c:pt idx="39">
                  <c:v>11.461117727566423</c:v>
                </c:pt>
                <c:pt idx="40">
                  <c:v>10.395763691148348</c:v>
                </c:pt>
                <c:pt idx="41">
                  <c:v>9.3748531460343845</c:v>
                </c:pt>
                <c:pt idx="42">
                  <c:v>8.3956618352782098</c:v>
                </c:pt>
                <c:pt idx="43">
                  <c:v>7.4556836957695705</c:v>
                </c:pt>
                <c:pt idx="44">
                  <c:v>6.5526094423094232</c:v>
                </c:pt>
                <c:pt idx="45">
                  <c:v>5.6843076255146077</c:v>
                </c:pt>
                <c:pt idx="46">
                  <c:v>4.8488078364615035</c:v>
                </c:pt>
                <c:pt idx="47">
                  <c:v>4.0442857794883089</c:v>
                </c:pt>
                <c:pt idx="48">
                  <c:v>3.2690499751392288</c:v>
                </c:pt>
                <c:pt idx="49">
                  <c:v>2.521529889271207</c:v>
                </c:pt>
                <c:pt idx="50">
                  <c:v>1.8002653130021375</c:v>
                </c:pt>
                <c:pt idx="51">
                  <c:v>1.1038968423855895</c:v>
                </c:pt>
                <c:pt idx="52">
                  <c:v>0.43115732720754352</c:v>
                </c:pt>
                <c:pt idx="53">
                  <c:v>-0.21913582426856593</c:v>
                </c:pt>
                <c:pt idx="54">
                  <c:v>-0.84808758292556163</c:v>
                </c:pt>
                <c:pt idx="55">
                  <c:v>-1.4567315644042704</c:v>
                </c:pt>
                <c:pt idx="56">
                  <c:v>-2.0460356974400193</c:v>
                </c:pt>
                <c:pt idx="57">
                  <c:v>-2.616907360310293</c:v>
                </c:pt>
                <c:pt idx="58">
                  <c:v>-3.1701980427249588</c:v>
                </c:pt>
                <c:pt idx="59">
                  <c:v>-3.7067075835353078</c:v>
                </c:pt>
                <c:pt idx="60">
                  <c:v>-4.2271880286177135</c:v>
                </c:pt>
                <c:pt idx="61">
                  <c:v>-4.7323471480649921</c:v>
                </c:pt>
                <c:pt idx="62">
                  <c:v>-5.2228516472775794</c:v>
                </c:pt>
                <c:pt idx="63">
                  <c:v>-5.6993301025898848</c:v>
                </c:pt>
                <c:pt idx="64">
                  <c:v>-6.1623756486126293</c:v>
                </c:pt>
                <c:pt idx="65">
                  <c:v>-6.6125484414492686</c:v>
                </c:pt>
                <c:pt idx="66">
                  <c:v>-7.0503779192952107</c:v>
                </c:pt>
                <c:pt idx="67">
                  <c:v>-7.4763648796013129</c:v>
                </c:pt>
                <c:pt idx="68">
                  <c:v>-7.8909833899356112</c:v>
                </c:pt>
                <c:pt idx="69">
                  <c:v>-8.2946825478722506</c:v>
                </c:pt>
                <c:pt idx="70">
                  <c:v>-8.6878881036427575</c:v>
                </c:pt>
                <c:pt idx="71">
                  <c:v>-9.0710039578750479</c:v>
                </c:pt>
                <c:pt idx="72">
                  <c:v>-9.4444135454964648</c:v>
                </c:pt>
                <c:pt idx="73">
                  <c:v>-9.531592110991431</c:v>
                </c:pt>
                <c:pt idx="74">
                  <c:v>-9.531592110991431</c:v>
                </c:pt>
                <c:pt idx="75">
                  <c:v>-9.531592110991431</c:v>
                </c:pt>
                <c:pt idx="76">
                  <c:v>-9.531592110991431</c:v>
                </c:pt>
                <c:pt idx="77">
                  <c:v>-9.531592110991431</c:v>
                </c:pt>
                <c:pt idx="78">
                  <c:v>-9.531592110991431</c:v>
                </c:pt>
                <c:pt idx="79">
                  <c:v>-9.531592110991431</c:v>
                </c:pt>
                <c:pt idx="80">
                  <c:v>-9.531592110991431</c:v>
                </c:pt>
                <c:pt idx="81">
                  <c:v>-9.531592110991431</c:v>
                </c:pt>
                <c:pt idx="82">
                  <c:v>-9.531592110991431</c:v>
                </c:pt>
                <c:pt idx="83">
                  <c:v>-9.531592110991431</c:v>
                </c:pt>
                <c:pt idx="84">
                  <c:v>-9.531592110991431</c:v>
                </c:pt>
                <c:pt idx="85">
                  <c:v>-9.531592110991431</c:v>
                </c:pt>
                <c:pt idx="86">
                  <c:v>-9.531592110991431</c:v>
                </c:pt>
                <c:pt idx="87">
                  <c:v>-9.531592110991431</c:v>
                </c:pt>
                <c:pt idx="88">
                  <c:v>-9.531592110991431</c:v>
                </c:pt>
                <c:pt idx="89">
                  <c:v>-9.531592110991431</c:v>
                </c:pt>
                <c:pt idx="90">
                  <c:v>-9.531592110991431</c:v>
                </c:pt>
                <c:pt idx="91">
                  <c:v>-9.531592110991431</c:v>
                </c:pt>
                <c:pt idx="92">
                  <c:v>-9.531592110991431</c:v>
                </c:pt>
                <c:pt idx="93">
                  <c:v>-9.531592110991431</c:v>
                </c:pt>
                <c:pt idx="94">
                  <c:v>-9.531592110991431</c:v>
                </c:pt>
                <c:pt idx="95">
                  <c:v>-9.531592110991431</c:v>
                </c:pt>
                <c:pt idx="96">
                  <c:v>-9.531592110991431</c:v>
                </c:pt>
                <c:pt idx="97">
                  <c:v>-9.531592110991431</c:v>
                </c:pt>
                <c:pt idx="98">
                  <c:v>-9.531592110991431</c:v>
                </c:pt>
                <c:pt idx="99">
                  <c:v>-9.531592110991431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3"/>
          <c:tx>
            <c:strRef>
              <c:f>UI!$U$2</c:f>
              <c:strCache>
                <c:ptCount val="1"/>
                <c:pt idx="0">
                  <c:v>LDO-42STH60-2004MAC (Railcore)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19.318655350734588</c:v>
                </c:pt>
                <c:pt idx="1">
                  <c:v>19.318655350734588</c:v>
                </c:pt>
                <c:pt idx="2">
                  <c:v>19.318655350734588</c:v>
                </c:pt>
                <c:pt idx="3">
                  <c:v>19.318655350734588</c:v>
                </c:pt>
                <c:pt idx="4">
                  <c:v>19.318655350734588</c:v>
                </c:pt>
                <c:pt idx="5">
                  <c:v>19.318655350734588</c:v>
                </c:pt>
                <c:pt idx="6">
                  <c:v>19.318655350734588</c:v>
                </c:pt>
                <c:pt idx="7">
                  <c:v>19.318655350734588</c:v>
                </c:pt>
                <c:pt idx="8">
                  <c:v>19.318655350734588</c:v>
                </c:pt>
                <c:pt idx="9">
                  <c:v>19.318655350734588</c:v>
                </c:pt>
                <c:pt idx="10">
                  <c:v>19.318655350734588</c:v>
                </c:pt>
                <c:pt idx="11">
                  <c:v>19.318655350734588</c:v>
                </c:pt>
                <c:pt idx="12">
                  <c:v>19.318655350734588</c:v>
                </c:pt>
                <c:pt idx="13">
                  <c:v>19.318655350734588</c:v>
                </c:pt>
                <c:pt idx="14">
                  <c:v>19.318655350734588</c:v>
                </c:pt>
                <c:pt idx="15">
                  <c:v>19.318655350734588</c:v>
                </c:pt>
                <c:pt idx="16">
                  <c:v>19.318655350734588</c:v>
                </c:pt>
                <c:pt idx="17">
                  <c:v>19.318655350734588</c:v>
                </c:pt>
                <c:pt idx="18">
                  <c:v>19.318655350734588</c:v>
                </c:pt>
                <c:pt idx="19">
                  <c:v>19.318655350734588</c:v>
                </c:pt>
                <c:pt idx="20">
                  <c:v>17.603886880093597</c:v>
                </c:pt>
                <c:pt idx="21">
                  <c:v>15.763233834615525</c:v>
                </c:pt>
                <c:pt idx="22">
                  <c:v>14.06432769688397</c:v>
                </c:pt>
                <c:pt idx="23">
                  <c:v>12.491401864241963</c:v>
                </c:pt>
                <c:pt idx="24">
                  <c:v>11.030944442693775</c:v>
                </c:pt>
                <c:pt idx="25">
                  <c:v>9.6713091146302101</c:v>
                </c:pt>
                <c:pt idx="26">
                  <c:v>8.4024039083661481</c:v>
                </c:pt>
                <c:pt idx="27">
                  <c:v>7.2154402622758287</c:v>
                </c:pt>
                <c:pt idx="28">
                  <c:v>6.1027291821105454</c:v>
                </c:pt>
                <c:pt idx="29">
                  <c:v>5.0575144932434295</c:v>
                </c:pt>
                <c:pt idx="30">
                  <c:v>4.0738355441261991</c:v>
                </c:pt>
                <c:pt idx="31">
                  <c:v>3.146413465827683</c:v>
                </c:pt>
                <c:pt idx="32">
                  <c:v>2.2705564036094312</c:v>
                </c:pt>
                <c:pt idx="33">
                  <c:v>1.4420801284169507</c:v>
                </c:pt>
                <c:pt idx="34">
                  <c:v>0.6572411929787112</c:v>
                </c:pt>
                <c:pt idx="35">
                  <c:v>-8.7319620759918948E-2</c:v>
                </c:pt>
                <c:pt idx="36">
                  <c:v>-0.79462536515899629</c:v>
                </c:pt>
                <c:pt idx="37">
                  <c:v>-1.4674039517381186</c:v>
                </c:pt>
                <c:pt idx="38">
                  <c:v>-2.1081233112847979</c:v>
                </c:pt>
                <c:pt idx="39">
                  <c:v>-2.7190216445879738</c:v>
                </c:pt>
                <c:pt idx="40">
                  <c:v>-3.3021335453489549</c:v>
                </c:pt>
                <c:pt idx="41">
                  <c:v>-3.8593126377899658</c:v>
                </c:pt>
                <c:pt idx="42">
                  <c:v>-4.3922512596671623</c:v>
                </c:pt>
                <c:pt idx="43">
                  <c:v>-4.9024976310061277</c:v>
                </c:pt>
                <c:pt idx="44">
                  <c:v>-5.391470875447169</c:v>
                </c:pt>
                <c:pt idx="45">
                  <c:v>-5.8604742011522148</c:v>
                </c:pt>
                <c:pt idx="46">
                  <c:v>-6.3107064990843016</c:v>
                </c:pt>
                <c:pt idx="47">
                  <c:v>-6.7432725760067624</c:v>
                </c:pt>
                <c:pt idx="48">
                  <c:v>-7.1591922060923743</c:v>
                </c:pt>
                <c:pt idx="49">
                  <c:v>-7.5594081572606964</c:v>
                </c:pt>
                <c:pt idx="50">
                  <c:v>-7.9447933252205987</c:v>
                </c:pt>
                <c:pt idx="51">
                  <c:v>-8.3161570888427487</c:v>
                </c:pt>
                <c:pt idx="52">
                  <c:v>-8.6742509842462887</c:v>
                </c:pt>
                <c:pt idx="53">
                  <c:v>-9.019773781308988</c:v>
                </c:pt>
                <c:pt idx="54">
                  <c:v>-9.3533760347582593</c:v>
                </c:pt>
                <c:pt idx="55">
                  <c:v>-9.675664172211647</c:v>
                </c:pt>
                <c:pt idx="56">
                  <c:v>-9.9872041732153942</c:v>
                </c:pt>
                <c:pt idx="57">
                  <c:v>-10.288524886238161</c:v>
                </c:pt>
                <c:pt idx="58">
                  <c:v>-10.580121024515012</c:v>
                </c:pt>
                <c:pt idx="59">
                  <c:v>-10.862455876441446</c:v>
                </c:pt>
                <c:pt idx="60">
                  <c:v>-11.135963761752725</c:v>
                </c:pt>
                <c:pt idx="61">
                  <c:v>-11.401052260877666</c:v>
                </c:pt>
                <c:pt idx="62">
                  <c:v>-11.658104241534772</c:v>
                </c:pt>
                <c:pt idx="63">
                  <c:v>-11.907479703763496</c:v>
                </c:pt>
                <c:pt idx="64">
                  <c:v>-12.149517462089117</c:v>
                </c:pt>
                <c:pt idx="65">
                  <c:v>-12.384536681350864</c:v>
                </c:pt>
                <c:pt idx="66">
                  <c:v>-12.612838280833051</c:v>
                </c:pt>
                <c:pt idx="67">
                  <c:v>-12.834706219688686</c:v>
                </c:pt>
                <c:pt idx="68">
                  <c:v>-13.050408675201282</c:v>
                </c:pt>
                <c:pt idx="69">
                  <c:v>-13.260199124164719</c:v>
                </c:pt>
                <c:pt idx="70">
                  <c:v>-13.464317336549231</c:v>
                </c:pt>
                <c:pt idx="71">
                  <c:v>-13.66299028964338</c:v>
                </c:pt>
                <c:pt idx="72">
                  <c:v>-13.856433009999336</c:v>
                </c:pt>
                <c:pt idx="73">
                  <c:v>-13.948671381938683</c:v>
                </c:pt>
                <c:pt idx="74">
                  <c:v>-13.948671381938683</c:v>
                </c:pt>
                <c:pt idx="75">
                  <c:v>-13.948671381938683</c:v>
                </c:pt>
                <c:pt idx="76">
                  <c:v>-13.948671381938683</c:v>
                </c:pt>
                <c:pt idx="77">
                  <c:v>-13.948671381938683</c:v>
                </c:pt>
                <c:pt idx="78">
                  <c:v>-13.948671381938683</c:v>
                </c:pt>
                <c:pt idx="79">
                  <c:v>-13.948671381938683</c:v>
                </c:pt>
                <c:pt idx="80">
                  <c:v>-13.948671381938683</c:v>
                </c:pt>
                <c:pt idx="81">
                  <c:v>-13.948671381938683</c:v>
                </c:pt>
                <c:pt idx="82">
                  <c:v>-13.948671381938683</c:v>
                </c:pt>
                <c:pt idx="83">
                  <c:v>-13.948671381938683</c:v>
                </c:pt>
                <c:pt idx="84">
                  <c:v>-13.948671381938683</c:v>
                </c:pt>
                <c:pt idx="85">
                  <c:v>-13.948671381938683</c:v>
                </c:pt>
                <c:pt idx="86">
                  <c:v>-13.948671381938683</c:v>
                </c:pt>
                <c:pt idx="87">
                  <c:v>-13.948671381938683</c:v>
                </c:pt>
                <c:pt idx="88">
                  <c:v>-13.948671381938683</c:v>
                </c:pt>
                <c:pt idx="89">
                  <c:v>-13.948671381938683</c:v>
                </c:pt>
                <c:pt idx="90">
                  <c:v>-13.948671381938683</c:v>
                </c:pt>
                <c:pt idx="91">
                  <c:v>-13.948671381938683</c:v>
                </c:pt>
                <c:pt idx="92">
                  <c:v>-13.948671381938683</c:v>
                </c:pt>
                <c:pt idx="93">
                  <c:v>-13.948671381938683</c:v>
                </c:pt>
                <c:pt idx="94">
                  <c:v>-13.948671381938683</c:v>
                </c:pt>
                <c:pt idx="95">
                  <c:v>-13.948671381938683</c:v>
                </c:pt>
                <c:pt idx="96">
                  <c:v>-13.948671381938683</c:v>
                </c:pt>
                <c:pt idx="97">
                  <c:v>-13.948671381938683</c:v>
                </c:pt>
                <c:pt idx="98">
                  <c:v>-13.948671381938683</c:v>
                </c:pt>
                <c:pt idx="99">
                  <c:v>-13.948671381938683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4"/>
          <c:tx>
            <c:strRef>
              <c:f>UI!$V$2</c:f>
              <c:strCache>
                <c:ptCount val="1"/>
                <c:pt idx="0">
                  <c:v>LDO-42STH48-2004AC (VRN)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22.832562391588816</c:v>
                </c:pt>
                <c:pt idx="1">
                  <c:v>22.832562391588816</c:v>
                </c:pt>
                <c:pt idx="2">
                  <c:v>22.832562391588816</c:v>
                </c:pt>
                <c:pt idx="3">
                  <c:v>22.832562391588816</c:v>
                </c:pt>
                <c:pt idx="4">
                  <c:v>22.832562391588816</c:v>
                </c:pt>
                <c:pt idx="5">
                  <c:v>22.832562391588816</c:v>
                </c:pt>
                <c:pt idx="6">
                  <c:v>22.832562391588816</c:v>
                </c:pt>
                <c:pt idx="7">
                  <c:v>22.832562391588816</c:v>
                </c:pt>
                <c:pt idx="8">
                  <c:v>22.832562391588816</c:v>
                </c:pt>
                <c:pt idx="9">
                  <c:v>22.832562391588816</c:v>
                </c:pt>
                <c:pt idx="10">
                  <c:v>22.832562391588816</c:v>
                </c:pt>
                <c:pt idx="11">
                  <c:v>22.832562391588816</c:v>
                </c:pt>
                <c:pt idx="12">
                  <c:v>22.832562391588816</c:v>
                </c:pt>
                <c:pt idx="13">
                  <c:v>22.832562391588816</c:v>
                </c:pt>
                <c:pt idx="14">
                  <c:v>22.832562391588816</c:v>
                </c:pt>
                <c:pt idx="15">
                  <c:v>22.832562391588816</c:v>
                </c:pt>
                <c:pt idx="16">
                  <c:v>22.832562391588816</c:v>
                </c:pt>
                <c:pt idx="17">
                  <c:v>22.832562391588816</c:v>
                </c:pt>
                <c:pt idx="18">
                  <c:v>22.832562391588816</c:v>
                </c:pt>
                <c:pt idx="19">
                  <c:v>22.832562391588816</c:v>
                </c:pt>
                <c:pt idx="20">
                  <c:v>22.832562391588816</c:v>
                </c:pt>
                <c:pt idx="21">
                  <c:v>22.832562391588816</c:v>
                </c:pt>
                <c:pt idx="22">
                  <c:v>22.832562391588816</c:v>
                </c:pt>
                <c:pt idx="23">
                  <c:v>22.832562391588816</c:v>
                </c:pt>
                <c:pt idx="24">
                  <c:v>22.832562391588816</c:v>
                </c:pt>
                <c:pt idx="25">
                  <c:v>22.832562391588816</c:v>
                </c:pt>
                <c:pt idx="26">
                  <c:v>22.832562391588816</c:v>
                </c:pt>
                <c:pt idx="27">
                  <c:v>22.832562391588816</c:v>
                </c:pt>
                <c:pt idx="28">
                  <c:v>22.832562391588816</c:v>
                </c:pt>
                <c:pt idx="29">
                  <c:v>22.832562391588816</c:v>
                </c:pt>
                <c:pt idx="30">
                  <c:v>22.368770902719568</c:v>
                </c:pt>
                <c:pt idx="31">
                  <c:v>20.81899410148413</c:v>
                </c:pt>
                <c:pt idx="32">
                  <c:v>19.347113515738435</c:v>
                </c:pt>
                <c:pt idx="33">
                  <c:v>17.947400192326405</c:v>
                </c:pt>
                <c:pt idx="34">
                  <c:v>16.614673523816194</c:v>
                </c:pt>
                <c:pt idx="35">
                  <c:v>15.344237175664324</c:v>
                </c:pt>
                <c:pt idx="36">
                  <c:v>14.131823792322342</c:v>
                </c:pt>
                <c:pt idx="37">
                  <c:v>12.973547110294918</c:v>
                </c:pt>
                <c:pt idx="38">
                  <c:v>11.865860345855227</c:v>
                </c:pt>
                <c:pt idx="39">
                  <c:v>10.805519918716376</c:v>
                </c:pt>
                <c:pt idx="40">
                  <c:v>9.7895537300923277</c:v>
                </c:pt>
                <c:pt idx="41">
                  <c:v>8.8152333417317958</c:v>
                </c:pt>
                <c:pt idx="42">
                  <c:v>7.8800495074943786</c:v>
                </c:pt>
                <c:pt idx="43">
                  <c:v>6.9816905954207957</c:v>
                </c:pt>
                <c:pt idx="44">
                  <c:v>6.1180235096207376</c:v>
                </c:pt>
                <c:pt idx="45">
                  <c:v>5.287076780505334</c:v>
                </c:pt>
                <c:pt idx="46">
                  <c:v>4.4870255411894462</c:v>
                </c:pt>
                <c:pt idx="47">
                  <c:v>3.7161781490892718</c:v>
                </c:pt>
                <c:pt idx="48">
                  <c:v>2.9729642462948256</c:v>
                </c:pt>
                <c:pt idx="49">
                  <c:v>2.2559240813746833</c:v>
                </c:pt>
                <c:pt idx="50">
                  <c:v>1.5636989398201742</c:v>
                </c:pt>
                <c:pt idx="51">
                  <c:v>0.89502255112748408</c:v>
                </c:pt>
                <c:pt idx="52">
                  <c:v>0.24871335817793572</c:v>
                </c:pt>
                <c:pt idx="53">
                  <c:v>-0.37633245037631191</c:v>
                </c:pt>
                <c:pt idx="54">
                  <c:v>-0.98114723115858915</c:v>
                </c:pt>
                <c:pt idx="55">
                  <c:v>-1.5666975759706485</c:v>
                </c:pt>
                <c:pt idx="56">
                  <c:v>-2.1338894665179886</c:v>
                </c:pt>
                <c:pt idx="57">
                  <c:v>-2.6835729517780429</c:v>
                </c:pt>
                <c:pt idx="58">
                  <c:v>-3.2165463988011149</c:v>
                </c:pt>
                <c:pt idx="59">
                  <c:v>-3.733560361650305</c:v>
                </c:pt>
                <c:pt idx="60">
                  <c:v>-4.2353211079109201</c:v>
                </c:pt>
                <c:pt idx="61">
                  <c:v>-4.7224938376144658</c:v>
                </c:pt>
                <c:pt idx="62">
                  <c:v>-5.1957056254277729</c:v>
                </c:pt>
                <c:pt idx="63">
                  <c:v>-5.6555481134717622</c:v>
                </c:pt>
                <c:pt idx="64">
                  <c:v>-6.1025799790847639</c:v>
                </c:pt>
                <c:pt idx="65">
                  <c:v>-6.5373291991730298</c:v>
                </c:pt>
                <c:pt idx="66">
                  <c:v>-6.9602951304448535</c:v>
                </c:pt>
                <c:pt idx="67">
                  <c:v>-7.371950422760416</c:v>
                </c:pt>
                <c:pt idx="68">
                  <c:v>-7.7727427810108347</c:v>
                </c:pt>
                <c:pt idx="69">
                  <c:v>-8.1630965893339216</c:v>
                </c:pt>
                <c:pt idx="70">
                  <c:v>-8.5434144100542611</c:v>
                </c:pt>
                <c:pt idx="71">
                  <c:v>-8.9140783684775382</c:v>
                </c:pt>
                <c:pt idx="72">
                  <c:v>-9.2754514335529521</c:v>
                </c:pt>
                <c:pt idx="73">
                  <c:v>-9.6278786034261437</c:v>
                </c:pt>
                <c:pt idx="74">
                  <c:v>-9.8803088955398994</c:v>
                </c:pt>
                <c:pt idx="75">
                  <c:v>-9.8803088955398994</c:v>
                </c:pt>
                <c:pt idx="76">
                  <c:v>-9.8803088955398994</c:v>
                </c:pt>
                <c:pt idx="77">
                  <c:v>-9.8803088955398994</c:v>
                </c:pt>
                <c:pt idx="78">
                  <c:v>-9.8803088955398994</c:v>
                </c:pt>
                <c:pt idx="79">
                  <c:v>-9.8803088955398994</c:v>
                </c:pt>
                <c:pt idx="80">
                  <c:v>-9.8803088955398994</c:v>
                </c:pt>
                <c:pt idx="81">
                  <c:v>-9.8803088955398994</c:v>
                </c:pt>
                <c:pt idx="82">
                  <c:v>-9.8803088955398994</c:v>
                </c:pt>
                <c:pt idx="83">
                  <c:v>-9.8803088955398994</c:v>
                </c:pt>
                <c:pt idx="84">
                  <c:v>-9.8803088955398994</c:v>
                </c:pt>
                <c:pt idx="85">
                  <c:v>-9.8803088955398994</c:v>
                </c:pt>
                <c:pt idx="86">
                  <c:v>-9.8803088955398994</c:v>
                </c:pt>
                <c:pt idx="87">
                  <c:v>-9.8803088955398994</c:v>
                </c:pt>
                <c:pt idx="88">
                  <c:v>-9.8803088955398994</c:v>
                </c:pt>
                <c:pt idx="89">
                  <c:v>-9.8803088955398994</c:v>
                </c:pt>
                <c:pt idx="90">
                  <c:v>-9.8803088955398994</c:v>
                </c:pt>
                <c:pt idx="91">
                  <c:v>-9.8803088955398994</c:v>
                </c:pt>
                <c:pt idx="92">
                  <c:v>-9.8803088955398994</c:v>
                </c:pt>
                <c:pt idx="93">
                  <c:v>-9.8803088955398994</c:v>
                </c:pt>
                <c:pt idx="94">
                  <c:v>-9.8803088955398994</c:v>
                </c:pt>
                <c:pt idx="95">
                  <c:v>-9.8803088955398994</c:v>
                </c:pt>
                <c:pt idx="96">
                  <c:v>-9.8803088955398994</c:v>
                </c:pt>
                <c:pt idx="97">
                  <c:v>-9.8803088955398994</c:v>
                </c:pt>
                <c:pt idx="98">
                  <c:v>-9.8803088955398994</c:v>
                </c:pt>
                <c:pt idx="99">
                  <c:v>-9.8803088955398994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5"/>
          <c:tx>
            <c:strRef>
              <c:f>UI!$W$2</c:f>
              <c:strCache>
                <c:ptCount val="1"/>
                <c:pt idx="0">
                  <c:v>LDO-42STH47-1684AC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19.818525160795808</c:v>
                </c:pt>
                <c:pt idx="1">
                  <c:v>19.818525160795808</c:v>
                </c:pt>
                <c:pt idx="2">
                  <c:v>19.818525160795808</c:v>
                </c:pt>
                <c:pt idx="3">
                  <c:v>19.818525160795808</c:v>
                </c:pt>
                <c:pt idx="4">
                  <c:v>19.818525160795808</c:v>
                </c:pt>
                <c:pt idx="5">
                  <c:v>19.818525160795808</c:v>
                </c:pt>
                <c:pt idx="6">
                  <c:v>19.818525160795808</c:v>
                </c:pt>
                <c:pt idx="7">
                  <c:v>19.818525160795808</c:v>
                </c:pt>
                <c:pt idx="8">
                  <c:v>19.818525160795808</c:v>
                </c:pt>
                <c:pt idx="9">
                  <c:v>19.818525160795808</c:v>
                </c:pt>
                <c:pt idx="10">
                  <c:v>19.818525160795808</c:v>
                </c:pt>
                <c:pt idx="11">
                  <c:v>19.818525160795808</c:v>
                </c:pt>
                <c:pt idx="12">
                  <c:v>19.818525160795808</c:v>
                </c:pt>
                <c:pt idx="13">
                  <c:v>19.818525160795808</c:v>
                </c:pt>
                <c:pt idx="14">
                  <c:v>19.818525160795808</c:v>
                </c:pt>
                <c:pt idx="15">
                  <c:v>19.818525160795808</c:v>
                </c:pt>
                <c:pt idx="16">
                  <c:v>19.818525160795808</c:v>
                </c:pt>
                <c:pt idx="17">
                  <c:v>19.818525160795808</c:v>
                </c:pt>
                <c:pt idx="18">
                  <c:v>19.818525160795808</c:v>
                </c:pt>
                <c:pt idx="19">
                  <c:v>19.818525160795808</c:v>
                </c:pt>
                <c:pt idx="20">
                  <c:v>19.818525160795808</c:v>
                </c:pt>
                <c:pt idx="21">
                  <c:v>19.818525160795808</c:v>
                </c:pt>
                <c:pt idx="22">
                  <c:v>19.818525160795808</c:v>
                </c:pt>
                <c:pt idx="23">
                  <c:v>19.818525160795808</c:v>
                </c:pt>
                <c:pt idx="24">
                  <c:v>19.818525160795808</c:v>
                </c:pt>
                <c:pt idx="25">
                  <c:v>19.818525160795808</c:v>
                </c:pt>
                <c:pt idx="26">
                  <c:v>19.818525160795808</c:v>
                </c:pt>
                <c:pt idx="27">
                  <c:v>19.818525160795808</c:v>
                </c:pt>
                <c:pt idx="28">
                  <c:v>19.818525160795808</c:v>
                </c:pt>
                <c:pt idx="29">
                  <c:v>19.818525160795808</c:v>
                </c:pt>
                <c:pt idx="30">
                  <c:v>19.818525160795808</c:v>
                </c:pt>
                <c:pt idx="31">
                  <c:v>19.818525160795808</c:v>
                </c:pt>
                <c:pt idx="32">
                  <c:v>19.818525160795808</c:v>
                </c:pt>
                <c:pt idx="33">
                  <c:v>19.818525160795808</c:v>
                </c:pt>
                <c:pt idx="34">
                  <c:v>19.818525160795808</c:v>
                </c:pt>
                <c:pt idx="35">
                  <c:v>18.69415606287248</c:v>
                </c:pt>
                <c:pt idx="36">
                  <c:v>17.413585801081616</c:v>
                </c:pt>
                <c:pt idx="37">
                  <c:v>16.189300333990772</c:v>
                </c:pt>
                <c:pt idx="38">
                  <c:v>15.017668637525668</c:v>
                </c:pt>
                <c:pt idx="39">
                  <c:v>13.89536543720485</c:v>
                </c:pt>
                <c:pt idx="40">
                  <c:v>12.819339689668626</c:v>
                </c:pt>
                <c:pt idx="41">
                  <c:v>11.786786884378818</c:v>
                </c:pt>
                <c:pt idx="42">
                  <c:v>10.795124635994449</c:v>
                </c:pt>
                <c:pt idx="43">
                  <c:v>9.8419711201753142</c:v>
                </c:pt>
                <c:pt idx="44">
                  <c:v>8.9251259737130102</c:v>
                </c:pt>
                <c:pt idx="45">
                  <c:v>8.0425533365736683</c:v>
                </c:pt>
                <c:pt idx="46">
                  <c:v>7.1923667607607822</c:v>
                </c:pt>
                <c:pt idx="47">
                  <c:v>6.3728157505570184</c:v>
                </c:pt>
                <c:pt idx="48">
                  <c:v>5.5822737320390114</c:v>
                </c:pt>
                <c:pt idx="49">
                  <c:v>4.8192272778763563</c:v>
                </c:pt>
                <c:pt idx="50">
                  <c:v>4.0822664372181769</c:v>
                </c:pt>
                <c:pt idx="51">
                  <c:v>3.3700760406641894</c:v>
                </c:pt>
                <c:pt idx="52">
                  <c:v>2.681427867506379</c:v>
                </c:pt>
                <c:pt idx="53">
                  <c:v>2.0151735771020842</c:v>
                </c:pt>
                <c:pt idx="54">
                  <c:v>1.3702383188000056</c:v>
                </c:pt>
                <c:pt idx="55">
                  <c:v>0.74561494562195563</c:v>
                </c:pt>
                <c:pt idx="56">
                  <c:v>0.14035876617974097</c:v>
                </c:pt>
                <c:pt idx="57">
                  <c:v>-0.44641722269130035</c:v>
                </c:pt>
                <c:pt idx="58">
                  <c:v>-1.0155466731814196</c:v>
                </c:pt>
                <c:pt idx="59">
                  <c:v>-1.5678138382407596</c:v>
                </c:pt>
                <c:pt idx="60">
                  <c:v>-2.103957177192795</c:v>
                </c:pt>
                <c:pt idx="61">
                  <c:v>-2.6246726500862616</c:v>
                </c:pt>
                <c:pt idx="62">
                  <c:v>-3.1306167316895843</c:v>
                </c:pt>
                <c:pt idx="63">
                  <c:v>-3.6224091725741783</c:v>
                </c:pt>
                <c:pt idx="64">
                  <c:v>-4.1006355317045262</c:v>
                </c:pt>
                <c:pt idx="65">
                  <c:v>-4.5658495022952792</c:v>
                </c:pt>
                <c:pt idx="66">
                  <c:v>-5.0185750503591882</c:v>
                </c:pt>
                <c:pt idx="67">
                  <c:v>-5.4593083833115053</c:v>
                </c:pt>
                <c:pt idx="68">
                  <c:v>-5.888519764180538</c:v>
                </c:pt>
                <c:pt idx="69">
                  <c:v>-6.3066551853691051</c:v>
                </c:pt>
                <c:pt idx="70">
                  <c:v>-6.7141379144904532</c:v>
                </c:pt>
                <c:pt idx="71">
                  <c:v>-7.11136992354204</c:v>
                </c:pt>
                <c:pt idx="72">
                  <c:v>-7.498733211561361</c:v>
                </c:pt>
                <c:pt idx="73">
                  <c:v>-7.8765910299122233</c:v>
                </c:pt>
                <c:pt idx="74">
                  <c:v>-7.9042471164319199</c:v>
                </c:pt>
                <c:pt idx="75">
                  <c:v>-7.9042471164319199</c:v>
                </c:pt>
                <c:pt idx="76">
                  <c:v>-7.9042471164319199</c:v>
                </c:pt>
                <c:pt idx="77">
                  <c:v>-7.9042471164319199</c:v>
                </c:pt>
                <c:pt idx="78">
                  <c:v>-7.9042471164319199</c:v>
                </c:pt>
                <c:pt idx="79">
                  <c:v>-7.9042471164319199</c:v>
                </c:pt>
                <c:pt idx="80">
                  <c:v>-7.9042471164319199</c:v>
                </c:pt>
                <c:pt idx="81">
                  <c:v>-7.9042471164319199</c:v>
                </c:pt>
                <c:pt idx="82">
                  <c:v>-7.9042471164319199</c:v>
                </c:pt>
                <c:pt idx="83">
                  <c:v>-7.9042471164319199</c:v>
                </c:pt>
                <c:pt idx="84">
                  <c:v>-7.9042471164319199</c:v>
                </c:pt>
                <c:pt idx="85">
                  <c:v>-7.9042471164319199</c:v>
                </c:pt>
                <c:pt idx="86">
                  <c:v>-7.9042471164319199</c:v>
                </c:pt>
                <c:pt idx="87">
                  <c:v>-7.9042471164319199</c:v>
                </c:pt>
                <c:pt idx="88">
                  <c:v>-7.9042471164319199</c:v>
                </c:pt>
                <c:pt idx="89">
                  <c:v>-7.9042471164319199</c:v>
                </c:pt>
                <c:pt idx="90">
                  <c:v>-7.9042471164319199</c:v>
                </c:pt>
                <c:pt idx="91">
                  <c:v>-7.9042471164319199</c:v>
                </c:pt>
                <c:pt idx="92">
                  <c:v>-7.9042471164319199</c:v>
                </c:pt>
                <c:pt idx="93">
                  <c:v>-7.9042471164319199</c:v>
                </c:pt>
                <c:pt idx="94">
                  <c:v>-7.9042471164319199</c:v>
                </c:pt>
                <c:pt idx="95">
                  <c:v>-7.9042471164319199</c:v>
                </c:pt>
                <c:pt idx="96">
                  <c:v>-7.9042471164319199</c:v>
                </c:pt>
                <c:pt idx="97">
                  <c:v>-7.9042471164319199</c:v>
                </c:pt>
                <c:pt idx="98">
                  <c:v>-7.9042471164319199</c:v>
                </c:pt>
                <c:pt idx="99">
                  <c:v>-7.9042471164319199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6"/>
          <c:tx>
            <c:strRef>
              <c:f>UI!$X$2</c:f>
              <c:strCache>
                <c:ptCount val="1"/>
                <c:pt idx="0">
                  <c:v>OMC-17HM19-2004S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16.493867577834592</c:v>
                </c:pt>
                <c:pt idx="1">
                  <c:v>16.493867577834592</c:v>
                </c:pt>
                <c:pt idx="2">
                  <c:v>16.493867577834592</c:v>
                </c:pt>
                <c:pt idx="3">
                  <c:v>16.493867577834592</c:v>
                </c:pt>
                <c:pt idx="4">
                  <c:v>16.493867577834592</c:v>
                </c:pt>
                <c:pt idx="5">
                  <c:v>16.493867577834592</c:v>
                </c:pt>
                <c:pt idx="6">
                  <c:v>16.493867577834592</c:v>
                </c:pt>
                <c:pt idx="7">
                  <c:v>16.493867577834592</c:v>
                </c:pt>
                <c:pt idx="8">
                  <c:v>16.493867577834592</c:v>
                </c:pt>
                <c:pt idx="9">
                  <c:v>16.493867577834592</c:v>
                </c:pt>
                <c:pt idx="10">
                  <c:v>16.493867577834592</c:v>
                </c:pt>
                <c:pt idx="11">
                  <c:v>16.493867577834592</c:v>
                </c:pt>
                <c:pt idx="12">
                  <c:v>16.493867577834592</c:v>
                </c:pt>
                <c:pt idx="13">
                  <c:v>16.493867577834592</c:v>
                </c:pt>
                <c:pt idx="14">
                  <c:v>16.493867577834592</c:v>
                </c:pt>
                <c:pt idx="15">
                  <c:v>16.493867577834592</c:v>
                </c:pt>
                <c:pt idx="16">
                  <c:v>16.493867577834592</c:v>
                </c:pt>
                <c:pt idx="17">
                  <c:v>16.493867577834592</c:v>
                </c:pt>
                <c:pt idx="18">
                  <c:v>16.493867577834592</c:v>
                </c:pt>
                <c:pt idx="19">
                  <c:v>16.493867577834592</c:v>
                </c:pt>
                <c:pt idx="20">
                  <c:v>16.493867577834592</c:v>
                </c:pt>
                <c:pt idx="21">
                  <c:v>15.767012106426284</c:v>
                </c:pt>
                <c:pt idx="22">
                  <c:v>14.458662933275766</c:v>
                </c:pt>
                <c:pt idx="23">
                  <c:v>13.246952605073735</c:v>
                </c:pt>
                <c:pt idx="24">
                  <c:v>12.121555387462779</c:v>
                </c:pt>
                <c:pt idx="25">
                  <c:v>11.073566009503944</c:v>
                </c:pt>
                <c:pt idx="26">
                  <c:v>10.095263526538416</c:v>
                </c:pt>
                <c:pt idx="27">
                  <c:v>9.1799207736433512</c:v>
                </c:pt>
                <c:pt idx="28">
                  <c:v>8.321649460705947</c:v>
                </c:pt>
                <c:pt idx="29">
                  <c:v>7.5152733663919111</c:v>
                </c:pt>
                <c:pt idx="30">
                  <c:v>6.7562238590283652</c:v>
                </c:pt>
                <c:pt idx="31">
                  <c:v>6.0404532888314559</c:v>
                </c:pt>
                <c:pt idx="32">
                  <c:v>5.3643627839200949</c:v>
                </c:pt>
                <c:pt idx="33">
                  <c:v>4.7247417307407513</c:v>
                </c:pt>
                <c:pt idx="34">
                  <c:v>4.118716790869275</c:v>
                </c:pt>
                <c:pt idx="35">
                  <c:v>3.5437087459088623</c:v>
                </c:pt>
                <c:pt idx="36">
                  <c:v>2.9973958032023429</c:v>
                </c:pt>
                <c:pt idx="37">
                  <c:v>2.4776822613629044</c:v>
                </c:pt>
                <c:pt idx="38">
                  <c:v>1.9826716439568255</c:v>
                </c:pt>
                <c:pt idx="39">
                  <c:v>1.5106435752661653</c:v>
                </c:pt>
                <c:pt idx="40">
                  <c:v>1.0600338038417885</c:v>
                </c:pt>
                <c:pt idx="41">
                  <c:v>0.62941688502770177</c:v>
                </c:pt>
                <c:pt idx="42">
                  <c:v>0.21749111850767022</c:v>
                </c:pt>
                <c:pt idx="43">
                  <c:v>-0.17693459443040105</c:v>
                </c:pt>
                <c:pt idx="44">
                  <c:v>-0.55495225342224863</c:v>
                </c:pt>
                <c:pt idx="45">
                  <c:v>-0.91756485529453968</c:v>
                </c:pt>
                <c:pt idx="46">
                  <c:v>-1.2656952806451063</c:v>
                </c:pt>
                <c:pt idx="47">
                  <c:v>-1.6001941365210186</c:v>
                </c:pt>
                <c:pt idx="48">
                  <c:v>-1.9218466955117277</c:v>
                </c:pt>
                <c:pt idx="49">
                  <c:v>-2.2313790504254412</c:v>
                </c:pt>
                <c:pt idx="50">
                  <c:v>-2.5294635860873571</c:v>
                </c:pt>
                <c:pt idx="51">
                  <c:v>-2.8167238550499381</c:v>
                </c:pt>
                <c:pt idx="52">
                  <c:v>-3.0937389316237489</c:v>
                </c:pt>
                <c:pt idx="53">
                  <c:v>-3.3610473082082688</c:v>
                </c:pt>
                <c:pt idx="54">
                  <c:v>-3.6191503890889765</c:v>
                </c:pt>
                <c:pt idx="55">
                  <c:v>-3.8685156293966676</c:v>
                </c:pt>
                <c:pt idx="56">
                  <c:v>-4.1095793605735862</c:v>
                </c:pt>
                <c:pt idx="57">
                  <c:v>-4.342749338275647</c:v>
                </c:pt>
                <c:pt idx="58">
                  <c:v>-4.5684070440096169</c:v>
                </c:pt>
                <c:pt idx="59">
                  <c:v>-4.7869097678346932</c:v>
                </c:pt>
                <c:pt idx="60">
                  <c:v>-4.9985924960456725</c:v>
                </c:pt>
                <c:pt idx="61">
                  <c:v>-5.2037696248148446</c:v>
                </c:pt>
                <c:pt idx="62">
                  <c:v>-5.4027365182300233</c:v>
                </c:pt>
                <c:pt idx="63">
                  <c:v>-5.5957709269671039</c:v>
                </c:pt>
                <c:pt idx="64">
                  <c:v>-5.7831342819273956</c:v>
                </c:pt>
                <c:pt idx="65">
                  <c:v>-5.9650728755102644</c:v>
                </c:pt>
                <c:pt idx="66">
                  <c:v>-6.1418189417452247</c:v>
                </c:pt>
                <c:pt idx="67">
                  <c:v>-6.3135916452442569</c:v>
                </c:pt>
                <c:pt idx="68">
                  <c:v>-6.4805979878295856</c:v>
                </c:pt>
                <c:pt idx="69">
                  <c:v>-6.6430336407226731</c:v>
                </c:pt>
                <c:pt idx="70">
                  <c:v>-6.8010837093286911</c:v>
                </c:pt>
                <c:pt idx="71">
                  <c:v>-6.95492343690103</c:v>
                </c:pt>
                <c:pt idx="72">
                  <c:v>-7.1047188527096363</c:v>
                </c:pt>
                <c:pt idx="73">
                  <c:v>-7.2506273697532464</c:v>
                </c:pt>
                <c:pt idx="74">
                  <c:v>-7.3927983365391512</c:v>
                </c:pt>
                <c:pt idx="75">
                  <c:v>-7.5313735469964795</c:v>
                </c:pt>
                <c:pt idx="76">
                  <c:v>-7.6664877121828114</c:v>
                </c:pt>
                <c:pt idx="77">
                  <c:v>-7.7982688970827727</c:v>
                </c:pt>
                <c:pt idx="78">
                  <c:v>-7.9268389254757894</c:v>
                </c:pt>
                <c:pt idx="79">
                  <c:v>-8.0523137555634268</c:v>
                </c:pt>
                <c:pt idx="80">
                  <c:v>-8.1748038287908233</c:v>
                </c:pt>
                <c:pt idx="81">
                  <c:v>-8.2944143940677453</c:v>
                </c:pt>
                <c:pt idx="82">
                  <c:v>-8.4112458093898077</c:v>
                </c:pt>
                <c:pt idx="83">
                  <c:v>-8.5253938226766675</c:v>
                </c:pt>
                <c:pt idx="84">
                  <c:v>-8.6369498334789032</c:v>
                </c:pt>
                <c:pt idx="85">
                  <c:v>-8.7460011370570037</c:v>
                </c:pt>
                <c:pt idx="86">
                  <c:v>-8.852631152202358</c:v>
                </c:pt>
                <c:pt idx="87">
                  <c:v>-8.9569196340497861</c:v>
                </c:pt>
                <c:pt idx="88">
                  <c:v>-9.058942873022616</c:v>
                </c:pt>
                <c:pt idx="89">
                  <c:v>-9.1587738809532144</c:v>
                </c:pt>
                <c:pt idx="90">
                  <c:v>-9.2564825653332381</c:v>
                </c:pt>
                <c:pt idx="91">
                  <c:v>-9.352135892567512</c:v>
                </c:pt>
                <c:pt idx="92">
                  <c:v>-9.4457980410327274</c:v>
                </c:pt>
                <c:pt idx="93">
                  <c:v>-9.531592110991431</c:v>
                </c:pt>
                <c:pt idx="94">
                  <c:v>-9.531592110991431</c:v>
                </c:pt>
                <c:pt idx="95">
                  <c:v>-9.531592110991431</c:v>
                </c:pt>
                <c:pt idx="96">
                  <c:v>-9.531592110991431</c:v>
                </c:pt>
                <c:pt idx="97">
                  <c:v>-9.531592110991431</c:v>
                </c:pt>
                <c:pt idx="98">
                  <c:v>-9.531592110991431</c:v>
                </c:pt>
                <c:pt idx="99">
                  <c:v>-9.531592110991431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7"/>
          <c:tx>
            <c:strRef>
              <c:f>UI!$Y$2</c:f>
              <c:strCache>
                <c:ptCount val="1"/>
                <c:pt idx="0">
                  <c:v>OMC-17HS16-2004S1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19.182786704153049</c:v>
                </c:pt>
                <c:pt idx="1">
                  <c:v>19.182786704153049</c:v>
                </c:pt>
                <c:pt idx="2">
                  <c:v>19.182786704153049</c:v>
                </c:pt>
                <c:pt idx="3">
                  <c:v>19.182786704153049</c:v>
                </c:pt>
                <c:pt idx="4">
                  <c:v>19.182786704153049</c:v>
                </c:pt>
                <c:pt idx="5">
                  <c:v>19.182786704153049</c:v>
                </c:pt>
                <c:pt idx="6">
                  <c:v>19.182786704153049</c:v>
                </c:pt>
                <c:pt idx="7">
                  <c:v>19.182786704153049</c:v>
                </c:pt>
                <c:pt idx="8">
                  <c:v>19.182786704153049</c:v>
                </c:pt>
                <c:pt idx="9">
                  <c:v>19.182786704153049</c:v>
                </c:pt>
                <c:pt idx="10">
                  <c:v>19.182786704153049</c:v>
                </c:pt>
                <c:pt idx="11">
                  <c:v>19.182786704153049</c:v>
                </c:pt>
                <c:pt idx="12">
                  <c:v>19.182786704153049</c:v>
                </c:pt>
                <c:pt idx="13">
                  <c:v>19.182786704153049</c:v>
                </c:pt>
                <c:pt idx="14">
                  <c:v>19.182786704153049</c:v>
                </c:pt>
                <c:pt idx="15">
                  <c:v>19.182786704153049</c:v>
                </c:pt>
                <c:pt idx="16">
                  <c:v>19.182786704153049</c:v>
                </c:pt>
                <c:pt idx="17">
                  <c:v>19.182786704153049</c:v>
                </c:pt>
                <c:pt idx="18">
                  <c:v>19.182786704153049</c:v>
                </c:pt>
                <c:pt idx="19">
                  <c:v>19.182786704153049</c:v>
                </c:pt>
                <c:pt idx="20">
                  <c:v>19.182786704153049</c:v>
                </c:pt>
                <c:pt idx="21">
                  <c:v>19.182786704153049</c:v>
                </c:pt>
                <c:pt idx="22">
                  <c:v>19.182786704153049</c:v>
                </c:pt>
                <c:pt idx="23">
                  <c:v>19.182786704153049</c:v>
                </c:pt>
                <c:pt idx="24">
                  <c:v>19.182786704153049</c:v>
                </c:pt>
                <c:pt idx="25">
                  <c:v>19.182786704153049</c:v>
                </c:pt>
                <c:pt idx="26">
                  <c:v>19.182786704153049</c:v>
                </c:pt>
                <c:pt idx="27">
                  <c:v>19.182786704153049</c:v>
                </c:pt>
                <c:pt idx="28">
                  <c:v>19.182786704153049</c:v>
                </c:pt>
                <c:pt idx="29">
                  <c:v>19.182786704153049</c:v>
                </c:pt>
                <c:pt idx="30">
                  <c:v>19.182786704153049</c:v>
                </c:pt>
                <c:pt idx="31">
                  <c:v>19.182786704153049</c:v>
                </c:pt>
                <c:pt idx="32">
                  <c:v>19.182786704153049</c:v>
                </c:pt>
                <c:pt idx="33">
                  <c:v>19.182786704153049</c:v>
                </c:pt>
                <c:pt idx="34">
                  <c:v>19.182786704153049</c:v>
                </c:pt>
                <c:pt idx="35">
                  <c:v>19.182786704153049</c:v>
                </c:pt>
                <c:pt idx="36">
                  <c:v>19.182786704153049</c:v>
                </c:pt>
                <c:pt idx="37">
                  <c:v>19.182786704153049</c:v>
                </c:pt>
                <c:pt idx="38">
                  <c:v>18.744441287553226</c:v>
                </c:pt>
                <c:pt idx="39">
                  <c:v>17.764018774224162</c:v>
                </c:pt>
                <c:pt idx="40">
                  <c:v>16.825867748528225</c:v>
                </c:pt>
                <c:pt idx="41">
                  <c:v>15.927312062591891</c:v>
                </c:pt>
                <c:pt idx="42">
                  <c:v>15.065896797475464</c:v>
                </c:pt>
                <c:pt idx="43">
                  <c:v>14.239365865660037</c:v>
                </c:pt>
                <c:pt idx="44">
                  <c:v>13.445642280596022</c:v>
                </c:pt>
                <c:pt idx="45">
                  <c:v>12.682810730002529</c:v>
                </c:pt>
                <c:pt idx="46">
                  <c:v>11.94910214508791</c:v>
                </c:pt>
                <c:pt idx="47">
                  <c:v>11.24288000398974</c:v>
                </c:pt>
                <c:pt idx="48">
                  <c:v>10.562628146227627</c:v>
                </c:pt>
                <c:pt idx="49">
                  <c:v>9.9069399072014122</c:v>
                </c:pt>
                <c:pt idx="50">
                  <c:v>9.274508408861621</c:v>
                </c:pt>
                <c:pt idx="51">
                  <c:v>8.6641178655232451</c:v>
                </c:pt>
                <c:pt idx="52">
                  <c:v>8.0746357831177065</c:v>
                </c:pt>
                <c:pt idx="53">
                  <c:v>7.5050059465723313</c:v>
                </c:pt>
                <c:pt idx="54">
                  <c:v>6.9542421039585287</c:v>
                </c:pt>
                <c:pt idx="55">
                  <c:v>6.4214222679553226</c:v>
                </c:pt>
                <c:pt idx="56">
                  <c:v>5.9056835653639039</c:v>
                </c:pt>
                <c:pt idx="57">
                  <c:v>5.406217574150145</c:v>
                </c:pt>
                <c:pt idx="58">
                  <c:v>4.922266095012346</c:v>
                </c:pt>
                <c:pt idx="59">
                  <c:v>4.4531173109559399</c:v>
                </c:pt>
                <c:pt idx="60">
                  <c:v>3.9981022939628845</c:v>
                </c:pt>
                <c:pt idx="61">
                  <c:v>3.5565918227002902</c:v>
                </c:pt>
                <c:pt idx="62">
                  <c:v>3.1279934794307271</c:v>
                </c:pt>
                <c:pt idx="63">
                  <c:v>2.711748997957323</c:v>
                </c:pt>
                <c:pt idx="64">
                  <c:v>2.3073318376382419</c:v>
                </c:pt>
                <c:pt idx="65">
                  <c:v>1.9142449613027308</c:v>
                </c:pt>
                <c:pt idx="66">
                  <c:v>1.5320187973510535</c:v>
                </c:pt>
                <c:pt idx="67">
                  <c:v>1.1602093684698458</c:v>
                </c:pt>
                <c:pt idx="68">
                  <c:v>0.79839657128404351</c:v>
                </c:pt>
                <c:pt idx="69">
                  <c:v>0.44618259293025364</c:v>
                </c:pt>
                <c:pt idx="70">
                  <c:v>0.10319045200423727</c:v>
                </c:pt>
                <c:pt idx="71">
                  <c:v>-0.23093734736764837</c:v>
                </c:pt>
                <c:pt idx="72">
                  <c:v>-0.55654005843514032</c:v>
                </c:pt>
                <c:pt idx="73">
                  <c:v>-0.87393984079286824</c:v>
                </c:pt>
                <c:pt idx="74">
                  <c:v>-1.1834428235912977</c:v>
                </c:pt>
                <c:pt idx="75">
                  <c:v>-1.4853400903657317</c:v>
                </c:pt>
                <c:pt idx="76">
                  <c:v>-1.7799085921430997</c:v>
                </c:pt>
                <c:pt idx="77">
                  <c:v>-2.0674119948473351</c:v>
                </c:pt>
                <c:pt idx="78">
                  <c:v>-2.3481014664533237</c:v>
                </c:pt>
                <c:pt idx="79">
                  <c:v>-2.6222164088288458</c:v>
                </c:pt>
                <c:pt idx="80">
                  <c:v>-2.8899851387464905</c:v>
                </c:pt>
                <c:pt idx="81">
                  <c:v>-3.1516255221371714</c:v>
                </c:pt>
                <c:pt idx="82">
                  <c:v>-3.4073455652884177</c:v>
                </c:pt>
                <c:pt idx="83">
                  <c:v>-3.6573439663591301</c:v>
                </c:pt>
                <c:pt idx="84">
                  <c:v>-3.9018106302840754</c:v>
                </c:pt>
                <c:pt idx="85">
                  <c:v>-4.1409271498723932</c:v>
                </c:pt>
                <c:pt idx="86">
                  <c:v>-4.3748672556615205</c:v>
                </c:pt>
                <c:pt idx="87">
                  <c:v>-4.6037972368685285</c:v>
                </c:pt>
                <c:pt idx="88">
                  <c:v>-4.8278763355823919</c:v>
                </c:pt>
                <c:pt idx="89">
                  <c:v>-5.0472571161608801</c:v>
                </c:pt>
                <c:pt idx="90">
                  <c:v>-5.2620858116328426</c:v>
                </c:pt>
                <c:pt idx="91">
                  <c:v>-5.4725026487586614</c:v>
                </c:pt>
                <c:pt idx="92">
                  <c:v>-5.6786421532673454</c:v>
                </c:pt>
                <c:pt idx="93">
                  <c:v>-5.880633436666395</c:v>
                </c:pt>
                <c:pt idx="94">
                  <c:v>-6.0786004659094317</c:v>
                </c:pt>
                <c:pt idx="95">
                  <c:v>-6.2726623171050919</c:v>
                </c:pt>
                <c:pt idx="96">
                  <c:v>-6.2769021218724061</c:v>
                </c:pt>
                <c:pt idx="97">
                  <c:v>-6.2769021218724061</c:v>
                </c:pt>
                <c:pt idx="98">
                  <c:v>-6.2769021218724061</c:v>
                </c:pt>
                <c:pt idx="99">
                  <c:v>-6.2769021218724061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8"/>
          <c:tx>
            <c:strRef>
              <c:f>UI!$Z$2</c:f>
              <c:strCache>
                <c:ptCount val="1"/>
                <c:pt idx="0">
                  <c:v>OMC-17HM19-1684S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16.989670846792976</c:v>
                </c:pt>
                <c:pt idx="1">
                  <c:v>16.989670846792976</c:v>
                </c:pt>
                <c:pt idx="2">
                  <c:v>16.989670846792976</c:v>
                </c:pt>
                <c:pt idx="3">
                  <c:v>16.989670846792976</c:v>
                </c:pt>
                <c:pt idx="4">
                  <c:v>16.989670846792976</c:v>
                </c:pt>
                <c:pt idx="5">
                  <c:v>16.989670846792976</c:v>
                </c:pt>
                <c:pt idx="6">
                  <c:v>16.989670846792976</c:v>
                </c:pt>
                <c:pt idx="7">
                  <c:v>16.989670846792976</c:v>
                </c:pt>
                <c:pt idx="8">
                  <c:v>16.989670846792976</c:v>
                </c:pt>
                <c:pt idx="9">
                  <c:v>16.989670846792976</c:v>
                </c:pt>
                <c:pt idx="10">
                  <c:v>16.989670846792976</c:v>
                </c:pt>
                <c:pt idx="11">
                  <c:v>16.989670846792976</c:v>
                </c:pt>
                <c:pt idx="12">
                  <c:v>16.989670846792976</c:v>
                </c:pt>
                <c:pt idx="13">
                  <c:v>16.989670846792976</c:v>
                </c:pt>
                <c:pt idx="14">
                  <c:v>16.989670846792976</c:v>
                </c:pt>
                <c:pt idx="15">
                  <c:v>16.989670846792976</c:v>
                </c:pt>
                <c:pt idx="16">
                  <c:v>16.989670846792976</c:v>
                </c:pt>
                <c:pt idx="17">
                  <c:v>16.989670846792976</c:v>
                </c:pt>
                <c:pt idx="18">
                  <c:v>16.735162159535811</c:v>
                </c:pt>
                <c:pt idx="19">
                  <c:v>15.27221778076783</c:v>
                </c:pt>
                <c:pt idx="20">
                  <c:v>13.933451255302019</c:v>
                </c:pt>
                <c:pt idx="21">
                  <c:v>12.703695564297581</c:v>
                </c:pt>
                <c:pt idx="22">
                  <c:v>11.570157050968154</c:v>
                </c:pt>
                <c:pt idx="23">
                  <c:v>10.521968663046382</c:v>
                </c:pt>
                <c:pt idx="24">
                  <c:v>9.5498404500646838</c:v>
                </c:pt>
                <c:pt idx="25">
                  <c:v>8.6457834802248339</c:v>
                </c:pt>
                <c:pt idx="26">
                  <c:v>7.8028897918454216</c:v>
                </c:pt>
                <c:pt idx="27">
                  <c:v>7.0151555451160039</c:v>
                </c:pt>
                <c:pt idx="28">
                  <c:v>6.2773377929730128</c:v>
                </c:pt>
                <c:pt idx="29">
                  <c:v>5.5848376438612934</c:v>
                </c:pt>
                <c:pt idx="30">
                  <c:v>4.9336043118599218</c:v>
                </c:pt>
                <c:pt idx="31">
                  <c:v>4.3200558237688398</c:v>
                </c:pt>
                <c:pt idx="32">
                  <c:v>3.7410131044189612</c:v>
                </c:pt>
                <c:pt idx="33">
                  <c:v>3.1936448788755616</c:v>
                </c:pt>
                <c:pt idx="34">
                  <c:v>2.6754213757188392</c:v>
                </c:pt>
                <c:pt idx="35">
                  <c:v>2.1840752337818508</c:v>
                </c:pt>
                <c:pt idx="36">
                  <c:v>1.7175683377870943</c:v>
                </c:pt>
                <c:pt idx="37">
                  <c:v>1.2740635597021868</c:v>
                </c:pt>
                <c:pt idx="38">
                  <c:v>0.85190057957995968</c:v>
                </c:pt>
                <c:pt idx="39">
                  <c:v>0.44957511494797586</c:v>
                </c:pt>
                <c:pt idx="40">
                  <c:v>6.5721011026926845E-2</c:v>
                </c:pt>
                <c:pt idx="41">
                  <c:v>-0.30090525761313902</c:v>
                </c:pt>
                <c:pt idx="42">
                  <c:v>-0.65143804444369557</c:v>
                </c:pt>
                <c:pt idx="43">
                  <c:v>-0.9869142542463365</c:v>
                </c:pt>
                <c:pt idx="44">
                  <c:v>-1.3082835874803136</c:v>
                </c:pt>
                <c:pt idx="45">
                  <c:v>-1.6164175189258501</c:v>
                </c:pt>
                <c:pt idx="46">
                  <c:v>-1.9121171893702638</c:v>
                </c:pt>
                <c:pt idx="47">
                  <c:v>-2.1961203608192896</c:v>
                </c:pt>
                <c:pt idx="48">
                  <c:v>-2.4691075623681469</c:v>
                </c:pt>
                <c:pt idx="49">
                  <c:v>-2.7317075345169473</c:v>
                </c:pt>
                <c:pt idx="50">
                  <c:v>-2.9845020636163699</c:v>
                </c:pt>
                <c:pt idx="51">
                  <c:v>-3.2280302846863691</c:v>
                </c:pt>
                <c:pt idx="52">
                  <c:v>-3.4627925195850509</c:v>
                </c:pt>
                <c:pt idx="53">
                  <c:v>-3.6892537080317744</c:v>
                </c:pt>
                <c:pt idx="54">
                  <c:v>-3.9078464809965476</c:v>
                </c:pt>
                <c:pt idx="55">
                  <c:v>-4.1189739192042119</c:v>
                </c:pt>
                <c:pt idx="56">
                  <c:v>-4.3230120337600368</c:v>
                </c:pt>
                <c:pt idx="57">
                  <c:v>-4.5203120010150695</c:v>
                </c:pt>
                <c:pt idx="58">
                  <c:v>-4.7112021796157002</c:v>
                </c:pt>
                <c:pt idx="59">
                  <c:v>-4.8959899341086217</c:v>
                </c:pt>
                <c:pt idx="60">
                  <c:v>-5.0749632864049801</c:v>
                </c:pt>
                <c:pt idx="61">
                  <c:v>-5.2483924137676379</c:v>
                </c:pt>
                <c:pt idx="62">
                  <c:v>-5.4165310097081969</c:v>
                </c:pt>
                <c:pt idx="63">
                  <c:v>-5.5796175222108229</c:v>
                </c:pt>
                <c:pt idx="64">
                  <c:v>-5.7378762819928886</c:v>
                </c:pt>
                <c:pt idx="65">
                  <c:v>-5.8915185320293286</c:v>
                </c:pt>
                <c:pt idx="66">
                  <c:v>-6.0407433682765301</c:v>
                </c:pt>
                <c:pt idx="67">
                  <c:v>-6.1857386004050579</c:v>
                </c:pt>
                <c:pt idx="68">
                  <c:v>-6.3266815403657066</c:v>
                </c:pt>
                <c:pt idx="69">
                  <c:v>-6.4637397257507665</c:v>
                </c:pt>
                <c:pt idx="70">
                  <c:v>-6.5970715841552128</c:v>
                </c:pt>
                <c:pt idx="71">
                  <c:v>-6.7268270440768481</c:v>
                </c:pt>
                <c:pt idx="72">
                  <c:v>-6.8531480973079795</c:v>
                </c:pt>
                <c:pt idx="73">
                  <c:v>-6.9761693172537074</c:v>
                </c:pt>
                <c:pt idx="74">
                  <c:v>-7.0960183371544741</c:v>
                </c:pt>
                <c:pt idx="75">
                  <c:v>-7.2128162917854413</c:v>
                </c:pt>
                <c:pt idx="76">
                  <c:v>-7.3266782258460861</c:v>
                </c:pt>
                <c:pt idx="77">
                  <c:v>-7.4377134719342806</c:v>
                </c:pt>
                <c:pt idx="78">
                  <c:v>-7.5460260007152318</c:v>
                </c:pt>
                <c:pt idx="79">
                  <c:v>-7.6517147456427423</c:v>
                </c:pt>
                <c:pt idx="80">
                  <c:v>-7.7548739043645396</c:v>
                </c:pt>
                <c:pt idx="81">
                  <c:v>-7.8555932187417641</c:v>
                </c:pt>
                <c:pt idx="82">
                  <c:v>-7.9042471164319199</c:v>
                </c:pt>
                <c:pt idx="83">
                  <c:v>-7.9042471164319199</c:v>
                </c:pt>
                <c:pt idx="84">
                  <c:v>-7.9042471164319199</c:v>
                </c:pt>
                <c:pt idx="85">
                  <c:v>-7.9042471164319199</c:v>
                </c:pt>
                <c:pt idx="86">
                  <c:v>-7.9042471164319199</c:v>
                </c:pt>
                <c:pt idx="87">
                  <c:v>-7.9042471164319199</c:v>
                </c:pt>
                <c:pt idx="88">
                  <c:v>-7.9042471164319199</c:v>
                </c:pt>
                <c:pt idx="89">
                  <c:v>-7.9042471164319199</c:v>
                </c:pt>
                <c:pt idx="90">
                  <c:v>-7.9042471164319199</c:v>
                </c:pt>
                <c:pt idx="91">
                  <c:v>-7.9042471164319199</c:v>
                </c:pt>
                <c:pt idx="92">
                  <c:v>-7.9042471164319199</c:v>
                </c:pt>
                <c:pt idx="93">
                  <c:v>-7.9042471164319199</c:v>
                </c:pt>
                <c:pt idx="94">
                  <c:v>-7.9042471164319199</c:v>
                </c:pt>
                <c:pt idx="95">
                  <c:v>-7.9042471164319199</c:v>
                </c:pt>
                <c:pt idx="96">
                  <c:v>-7.9042471164319199</c:v>
                </c:pt>
                <c:pt idx="97">
                  <c:v>-7.9042471164319199</c:v>
                </c:pt>
                <c:pt idx="98">
                  <c:v>-7.9042471164319199</c:v>
                </c:pt>
                <c:pt idx="99">
                  <c:v>-7.9042471164319199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9"/>
          <c:tx>
            <c:strRef>
              <c:f>UI!$AA$2</c:f>
              <c:strCache>
                <c:ptCount val="1"/>
                <c:pt idx="0">
                  <c:v>Nanotec-ST4209L1704-A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16.989670846792976</c:v>
                </c:pt>
                <c:pt idx="1">
                  <c:v>16.989670846792976</c:v>
                </c:pt>
                <c:pt idx="2">
                  <c:v>16.989670846792976</c:v>
                </c:pt>
                <c:pt idx="3">
                  <c:v>16.989670846792976</c:v>
                </c:pt>
                <c:pt idx="4">
                  <c:v>16.989670846792976</c:v>
                </c:pt>
                <c:pt idx="5">
                  <c:v>16.989670846792976</c:v>
                </c:pt>
                <c:pt idx="6">
                  <c:v>16.989670846792976</c:v>
                </c:pt>
                <c:pt idx="7">
                  <c:v>16.989670846792976</c:v>
                </c:pt>
                <c:pt idx="8">
                  <c:v>16.989670846792976</c:v>
                </c:pt>
                <c:pt idx="9">
                  <c:v>16.989670846792976</c:v>
                </c:pt>
                <c:pt idx="10">
                  <c:v>16.989670846792976</c:v>
                </c:pt>
                <c:pt idx="11">
                  <c:v>16.989670846792976</c:v>
                </c:pt>
                <c:pt idx="12">
                  <c:v>16.989670846792976</c:v>
                </c:pt>
                <c:pt idx="13">
                  <c:v>16.989670846792976</c:v>
                </c:pt>
                <c:pt idx="14">
                  <c:v>16.989670846792976</c:v>
                </c:pt>
                <c:pt idx="15">
                  <c:v>16.989670846792976</c:v>
                </c:pt>
                <c:pt idx="16">
                  <c:v>15.388953805176529</c:v>
                </c:pt>
                <c:pt idx="17">
                  <c:v>13.902908371215966</c:v>
                </c:pt>
                <c:pt idx="18">
                  <c:v>12.556450810530697</c:v>
                </c:pt>
                <c:pt idx="19">
                  <c:v>11.330795661009004</c:v>
                </c:pt>
                <c:pt idx="20">
                  <c:v>10.210383554262778</c:v>
                </c:pt>
                <c:pt idx="21">
                  <c:v>9.1822171889588535</c:v>
                </c:pt>
                <c:pt idx="22">
                  <c:v>8.2353548312719251</c:v>
                </c:pt>
                <c:pt idx="23">
                  <c:v>7.3605194021692739</c:v>
                </c:pt>
                <c:pt idx="24">
                  <c:v>6.5497935050806451</c:v>
                </c:pt>
                <c:pt idx="25">
                  <c:v>5.7963791305272352</c:v>
                </c:pt>
                <c:pt idx="26">
                  <c:v>5.0944065816030975</c:v>
                </c:pt>
                <c:pt idx="27">
                  <c:v>4.4387812461138481</c:v>
                </c:pt>
                <c:pt idx="28">
                  <c:v>3.8250597490726612</c:v>
                </c:pt>
                <c:pt idx="29">
                  <c:v>3.2493491166961661</c:v>
                </c:pt>
                <c:pt idx="30">
                  <c:v>2.7082241134708678</c:v>
                </c:pt>
                <c:pt idx="31">
                  <c:v>2.1986590426240067</c:v>
                </c:pt>
                <c:pt idx="32">
                  <c:v>1.7179711412433285</c:v>
                </c:pt>
                <c:pt idx="33">
                  <c:v>1.2637733336639041</c:v>
                </c:pt>
                <c:pt idx="34">
                  <c:v>0.8339345864973744</c:v>
                </c:pt>
                <c:pt idx="35">
                  <c:v>0.42654647567552573</c:v>
                </c:pt>
                <c:pt idx="36">
                  <c:v>3.9894858814439438E-2</c:v>
                </c:pt>
                <c:pt idx="37">
                  <c:v>-0.32756423405936186</c:v>
                </c:pt>
                <c:pt idx="38">
                  <c:v>-0.67722520653764562</c:v>
                </c:pt>
                <c:pt idx="39">
                  <c:v>-1.0103505784583424</c:v>
                </c:pt>
                <c:pt idx="40">
                  <c:v>-1.3280862178262529</c:v>
                </c:pt>
                <c:pt idx="41">
                  <c:v>-1.6314745093423246</c:v>
                </c:pt>
                <c:pt idx="42">
                  <c:v>-1.9214657784448814</c:v>
                </c:pt>
                <c:pt idx="43">
                  <c:v>-2.1989282346544821</c:v>
                </c:pt>
                <c:pt idx="44">
                  <c:v>-2.464656653390441</c:v>
                </c:pt>
                <c:pt idx="45">
                  <c:v>-2.7193799791199345</c:v>
                </c:pt>
                <c:pt idx="46">
                  <c:v>-2.9637680030224498</c:v>
                </c:pt>
                <c:pt idx="47">
                  <c:v>-3.1984372439854534</c:v>
                </c:pt>
                <c:pt idx="48">
                  <c:v>-3.4239561416556556</c:v>
                </c:pt>
                <c:pt idx="49">
                  <c:v>-3.6408496536368498</c:v>
                </c:pt>
                <c:pt idx="50">
                  <c:v>-3.8496033351008725</c:v>
                </c:pt>
                <c:pt idx="51">
                  <c:v>-4.0506669675455687</c:v>
                </c:pt>
                <c:pt idx="52">
                  <c:v>-4.244457793778099</c:v>
                </c:pt>
                <c:pt idx="53">
                  <c:v>-4.4313634080902098</c:v>
                </c:pt>
                <c:pt idx="54">
                  <c:v>-4.6117443437545464</c:v>
                </c:pt>
                <c:pt idx="55">
                  <c:v>-4.7859363941893172</c:v>
                </c:pt>
                <c:pt idx="56">
                  <c:v>-4.954252699234404</c:v>
                </c:pt>
                <c:pt idx="57">
                  <c:v>-5.1169856238099332</c:v>
                </c:pt>
                <c:pt idx="58">
                  <c:v>-5.2744084526687551</c:v>
                </c:pt>
                <c:pt idx="59">
                  <c:v>-5.4267769219092017</c:v>
                </c:pt>
                <c:pt idx="60">
                  <c:v>-5.5743306053021442</c:v>
                </c:pt>
                <c:pt idx="61">
                  <c:v>-5.7172941712399936</c:v>
                </c:pt>
                <c:pt idx="62">
                  <c:v>-5.8558785241783351</c:v>
                </c:pt>
                <c:pt idx="63">
                  <c:v>-5.9902818427670699</c:v>
                </c:pt>
                <c:pt idx="64">
                  <c:v>-6.120690525417853</c:v>
                </c:pt>
                <c:pt idx="65">
                  <c:v>-6.247280052795726</c:v>
                </c:pt>
                <c:pt idx="66">
                  <c:v>-6.3702157756274183</c:v>
                </c:pt>
                <c:pt idx="67">
                  <c:v>-6.4896536352636334</c:v>
                </c:pt>
                <c:pt idx="68">
                  <c:v>-6.6057408235980768</c:v>
                </c:pt>
                <c:pt idx="69">
                  <c:v>-6.7186163882152732</c:v>
                </c:pt>
                <c:pt idx="70">
                  <c:v>-6.8284117879983031</c:v>
                </c:pt>
                <c:pt idx="71">
                  <c:v>-6.9352514038642656</c:v>
                </c:pt>
                <c:pt idx="72">
                  <c:v>-7.0392530087993039</c:v>
                </c:pt>
                <c:pt idx="73">
                  <c:v>-7.1405282009275917</c:v>
                </c:pt>
                <c:pt idx="74">
                  <c:v>-7.239182802962115</c:v>
                </c:pt>
                <c:pt idx="75">
                  <c:v>-7.3353172310430423</c:v>
                </c:pt>
                <c:pt idx="76">
                  <c:v>-7.4290268356661695</c:v>
                </c:pt>
                <c:pt idx="77">
                  <c:v>-7.5204022171346949</c:v>
                </c:pt>
                <c:pt idx="78">
                  <c:v>-7.6095295177281006</c:v>
                </c:pt>
                <c:pt idx="79">
                  <c:v>-7.6964906925686511</c:v>
                </c:pt>
                <c:pt idx="80">
                  <c:v>-7.7813637609758013</c:v>
                </c:pt>
                <c:pt idx="81">
                  <c:v>-7.8642230399288957</c:v>
                </c:pt>
                <c:pt idx="82">
                  <c:v>-7.9042471164319199</c:v>
                </c:pt>
                <c:pt idx="83">
                  <c:v>-7.9042471164319199</c:v>
                </c:pt>
                <c:pt idx="84">
                  <c:v>-7.9042471164319199</c:v>
                </c:pt>
                <c:pt idx="85">
                  <c:v>-7.9042471164319199</c:v>
                </c:pt>
                <c:pt idx="86">
                  <c:v>-7.9042471164319199</c:v>
                </c:pt>
                <c:pt idx="87">
                  <c:v>-7.9042471164319199</c:v>
                </c:pt>
                <c:pt idx="88">
                  <c:v>-7.9042471164319199</c:v>
                </c:pt>
                <c:pt idx="89">
                  <c:v>-7.9042471164319199</c:v>
                </c:pt>
                <c:pt idx="90">
                  <c:v>-7.9042471164319199</c:v>
                </c:pt>
                <c:pt idx="91">
                  <c:v>-7.9042471164319199</c:v>
                </c:pt>
                <c:pt idx="92">
                  <c:v>-7.9042471164319199</c:v>
                </c:pt>
                <c:pt idx="93">
                  <c:v>-7.9042471164319199</c:v>
                </c:pt>
                <c:pt idx="94">
                  <c:v>-7.9042471164319199</c:v>
                </c:pt>
                <c:pt idx="95">
                  <c:v>-7.9042471164319199</c:v>
                </c:pt>
                <c:pt idx="96">
                  <c:v>-7.9042471164319199</c:v>
                </c:pt>
                <c:pt idx="97">
                  <c:v>-7.9042471164319199</c:v>
                </c:pt>
                <c:pt idx="98">
                  <c:v>-7.9042471164319199</c:v>
                </c:pt>
                <c:pt idx="99">
                  <c:v>-7.9042471164319199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0"/>
          <c:tx>
            <c:strRef>
              <c:f>UI!$AB$2</c:f>
              <c:strCache>
                <c:ptCount val="1"/>
                <c:pt idx="0">
                  <c:v>Motech-MT-1704HSM168RE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16.491792487528478</c:v>
                </c:pt>
                <c:pt idx="1">
                  <c:v>16.491792487528478</c:v>
                </c:pt>
                <c:pt idx="2">
                  <c:v>16.491792487528478</c:v>
                </c:pt>
                <c:pt idx="3">
                  <c:v>16.491792487528478</c:v>
                </c:pt>
                <c:pt idx="4">
                  <c:v>16.491792487528478</c:v>
                </c:pt>
                <c:pt idx="5">
                  <c:v>16.491792487528478</c:v>
                </c:pt>
                <c:pt idx="6">
                  <c:v>16.491792487528478</c:v>
                </c:pt>
                <c:pt idx="7">
                  <c:v>16.491792487528478</c:v>
                </c:pt>
                <c:pt idx="8">
                  <c:v>16.491792487528478</c:v>
                </c:pt>
                <c:pt idx="9">
                  <c:v>16.491792487528478</c:v>
                </c:pt>
                <c:pt idx="10">
                  <c:v>16.491792487528478</c:v>
                </c:pt>
                <c:pt idx="11">
                  <c:v>16.491792487528478</c:v>
                </c:pt>
                <c:pt idx="12">
                  <c:v>16.491792487528478</c:v>
                </c:pt>
                <c:pt idx="13">
                  <c:v>16.491792487528478</c:v>
                </c:pt>
                <c:pt idx="14">
                  <c:v>16.491792487528478</c:v>
                </c:pt>
                <c:pt idx="15">
                  <c:v>16.491792487528478</c:v>
                </c:pt>
                <c:pt idx="16">
                  <c:v>16.491792487528478</c:v>
                </c:pt>
                <c:pt idx="17">
                  <c:v>16.491792487528478</c:v>
                </c:pt>
                <c:pt idx="18">
                  <c:v>16.491792487528478</c:v>
                </c:pt>
                <c:pt idx="19">
                  <c:v>16.491792487528478</c:v>
                </c:pt>
                <c:pt idx="20">
                  <c:v>16.491792487528478</c:v>
                </c:pt>
                <c:pt idx="21">
                  <c:v>16.491792487528478</c:v>
                </c:pt>
                <c:pt idx="22">
                  <c:v>16.491792487528478</c:v>
                </c:pt>
                <c:pt idx="23">
                  <c:v>16.491792487528478</c:v>
                </c:pt>
                <c:pt idx="24">
                  <c:v>16.314933246690316</c:v>
                </c:pt>
                <c:pt idx="25">
                  <c:v>15.105364725774754</c:v>
                </c:pt>
                <c:pt idx="26">
                  <c:v>13.974463183718717</c:v>
                </c:pt>
                <c:pt idx="27">
                  <c:v>12.914795899406018</c:v>
                </c:pt>
                <c:pt idx="28">
                  <c:v>11.919837920082747</c:v>
                </c:pt>
                <c:pt idx="29">
                  <c:v>10.983837583610425</c:v>
                </c:pt>
                <c:pt idx="30">
                  <c:v>10.101705258816102</c:v>
                </c:pt>
                <c:pt idx="31">
                  <c:v>9.268920757944537</c:v>
                </c:pt>
                <c:pt idx="32">
                  <c:v>8.4814558647784128</c:v>
                </c:pt>
                <c:pt idx="33">
                  <c:v>7.7357091756414782</c:v>
                </c:pt>
                <c:pt idx="34">
                  <c:v>7.0284510291149243</c:v>
                </c:pt>
                <c:pt idx="35">
                  <c:v>6.3567767479106312</c:v>
                </c:pt>
                <c:pt idx="36">
                  <c:v>5.7180667651029271</c:v>
                </c:pt>
                <c:pt idx="37">
                  <c:v>5.109952480499814</c:v>
                </c:pt>
                <c:pt idx="38">
                  <c:v>4.5302869089209405</c:v>
                </c:pt>
                <c:pt idx="39">
                  <c:v>3.977119353705536</c:v>
                </c:pt>
                <c:pt idx="40">
                  <c:v>3.4486734758281159</c:v>
                </c:pt>
                <c:pt idx="41">
                  <c:v>2.9433282390940043</c:v>
                </c:pt>
                <c:pt idx="42">
                  <c:v>2.459601300786451</c:v>
                </c:pt>
                <c:pt idx="43">
                  <c:v>1.9961344892820456</c:v>
                </c:pt>
                <c:pt idx="44">
                  <c:v>1.5516810689771887</c:v>
                </c:pt>
                <c:pt idx="45">
                  <c:v>1.1250945410527713</c:v>
                </c:pt>
                <c:pt idx="46">
                  <c:v>0.71531876824416862</c:v>
                </c:pt>
                <c:pt idx="47">
                  <c:v>0.3213792445295347</c:v>
                </c:pt>
                <c:pt idx="48">
                  <c:v>-5.7624642191120401E-2</c:v>
                </c:pt>
                <c:pt idx="49">
                  <c:v>-0.42252648374195179</c:v>
                </c:pt>
                <c:pt idx="50">
                  <c:v>-0.7740989720633209</c:v>
                </c:pt>
                <c:pt idx="51">
                  <c:v>-1.1130593609260719</c:v>
                </c:pt>
                <c:pt idx="52">
                  <c:v>-1.4400743502123223</c:v>
                </c:pt>
                <c:pt idx="53">
                  <c:v>-1.7557644627527509</c:v>
                </c:pt>
                <c:pt idx="54">
                  <c:v>-2.0607079741800467</c:v>
                </c:pt>
                <c:pt idx="55">
                  <c:v>-2.3554444481634471</c:v>
                </c:pt>
                <c:pt idx="56">
                  <c:v>-2.6404779224935897</c:v>
                </c:pt>
                <c:pt idx="57">
                  <c:v>-2.9162797855964229</c:v>
                </c:pt>
                <c:pt idx="58">
                  <c:v>-3.1832913780090379</c:v>
                </c:pt>
                <c:pt idx="59">
                  <c:v>-3.4419263490169447</c:v>
                </c:pt>
                <c:pt idx="60">
                  <c:v>-3.6925727949211691</c:v>
                </c:pt>
                <c:pt idx="61">
                  <c:v>-3.9355952021831033</c:v>
                </c:pt>
                <c:pt idx="62">
                  <c:v>-4.1713362159088998</c:v>
                </c:pt>
                <c:pt idx="63">
                  <c:v>-4.4001182517190678</c:v>
                </c:pt>
                <c:pt idx="64">
                  <c:v>-4.6222449669491175</c:v>
                </c:pt>
                <c:pt idx="65">
                  <c:v>-4.8380026052982696</c:v>
                </c:pt>
                <c:pt idx="66">
                  <c:v>-5.0476612274469437</c:v>
                </c:pt>
                <c:pt idx="67">
                  <c:v>-5.2514758387677958</c:v>
                </c:pt>
                <c:pt idx="68">
                  <c:v>-5.4496874240317394</c:v>
                </c:pt>
                <c:pt idx="69">
                  <c:v>-5.6425238979363312</c:v>
                </c:pt>
                <c:pt idx="70">
                  <c:v>-5.8302009793392289</c:v>
                </c:pt>
                <c:pt idx="71">
                  <c:v>-6.012922996246898</c:v>
                </c:pt>
                <c:pt idx="72">
                  <c:v>-6.1908836278739567</c:v>
                </c:pt>
                <c:pt idx="73">
                  <c:v>-6.364266589438671</c:v>
                </c:pt>
                <c:pt idx="74">
                  <c:v>-6.5332462647846192</c:v>
                </c:pt>
                <c:pt idx="75">
                  <c:v>-6.697988291407988</c:v>
                </c:pt>
                <c:pt idx="76">
                  <c:v>-6.8586501020161954</c:v>
                </c:pt>
                <c:pt idx="77">
                  <c:v>-7.0153814263398875</c:v>
                </c:pt>
                <c:pt idx="78">
                  <c:v>-7.1683247565605015</c:v>
                </c:pt>
                <c:pt idx="79">
                  <c:v>-7.3176157793943872</c:v>
                </c:pt>
                <c:pt idx="80">
                  <c:v>-7.4633837775875014</c:v>
                </c:pt>
                <c:pt idx="81">
                  <c:v>-7.6057520033177051</c:v>
                </c:pt>
                <c:pt idx="82">
                  <c:v>-7.7448380257714495</c:v>
                </c:pt>
                <c:pt idx="83">
                  <c:v>-7.8807540549549717</c:v>
                </c:pt>
                <c:pt idx="84">
                  <c:v>-7.9042471164319199</c:v>
                </c:pt>
                <c:pt idx="85">
                  <c:v>-7.9042471164319199</c:v>
                </c:pt>
                <c:pt idx="86">
                  <c:v>-7.9042471164319199</c:v>
                </c:pt>
                <c:pt idx="87">
                  <c:v>-7.9042471164319199</c:v>
                </c:pt>
                <c:pt idx="88">
                  <c:v>-7.9042471164319199</c:v>
                </c:pt>
                <c:pt idx="89">
                  <c:v>-7.9042471164319199</c:v>
                </c:pt>
                <c:pt idx="90">
                  <c:v>-7.9042471164319199</c:v>
                </c:pt>
                <c:pt idx="91">
                  <c:v>-7.9042471164319199</c:v>
                </c:pt>
                <c:pt idx="92">
                  <c:v>-7.9042471164319199</c:v>
                </c:pt>
                <c:pt idx="93">
                  <c:v>-7.9042471164319199</c:v>
                </c:pt>
                <c:pt idx="94">
                  <c:v>-7.9042471164319199</c:v>
                </c:pt>
                <c:pt idx="95">
                  <c:v>-7.9042471164319199</c:v>
                </c:pt>
                <c:pt idx="96">
                  <c:v>-7.9042471164319199</c:v>
                </c:pt>
                <c:pt idx="97">
                  <c:v>-7.9042471164319199</c:v>
                </c:pt>
                <c:pt idx="98">
                  <c:v>-7.9042471164319199</c:v>
                </c:pt>
                <c:pt idx="99">
                  <c:v>-7.9042471164319199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1"/>
          <c:tx>
            <c:strRef>
              <c:f>UI!$AC$2</c:f>
              <c:strCache>
                <c:ptCount val="1"/>
                <c:pt idx="0">
                  <c:v>OMC-14HS20-1504S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16.353932390150227</c:v>
                </c:pt>
                <c:pt idx="1">
                  <c:v>16.353932390150227</c:v>
                </c:pt>
                <c:pt idx="2">
                  <c:v>16.353932390150227</c:v>
                </c:pt>
                <c:pt idx="3">
                  <c:v>16.353932390150227</c:v>
                </c:pt>
                <c:pt idx="4">
                  <c:v>16.353932390150227</c:v>
                </c:pt>
                <c:pt idx="5">
                  <c:v>16.353932390150227</c:v>
                </c:pt>
                <c:pt idx="6">
                  <c:v>16.353932390150227</c:v>
                </c:pt>
                <c:pt idx="7">
                  <c:v>16.353932390150227</c:v>
                </c:pt>
                <c:pt idx="8">
                  <c:v>16.353932390150227</c:v>
                </c:pt>
                <c:pt idx="9">
                  <c:v>16.353932390150227</c:v>
                </c:pt>
                <c:pt idx="10">
                  <c:v>16.353932390150227</c:v>
                </c:pt>
                <c:pt idx="11">
                  <c:v>16.353932390150227</c:v>
                </c:pt>
                <c:pt idx="12">
                  <c:v>16.353932390150227</c:v>
                </c:pt>
                <c:pt idx="13">
                  <c:v>16.353932390150227</c:v>
                </c:pt>
                <c:pt idx="14">
                  <c:v>16.353932390150227</c:v>
                </c:pt>
                <c:pt idx="15">
                  <c:v>16.353932390150227</c:v>
                </c:pt>
                <c:pt idx="16">
                  <c:v>16.353932390150227</c:v>
                </c:pt>
                <c:pt idx="17">
                  <c:v>16.353932390150227</c:v>
                </c:pt>
                <c:pt idx="18">
                  <c:v>16.353932390150227</c:v>
                </c:pt>
                <c:pt idx="19">
                  <c:v>16.353932390150227</c:v>
                </c:pt>
                <c:pt idx="20">
                  <c:v>16.353932390150227</c:v>
                </c:pt>
                <c:pt idx="21">
                  <c:v>16.353932390150227</c:v>
                </c:pt>
                <c:pt idx="22">
                  <c:v>16.353932390150227</c:v>
                </c:pt>
                <c:pt idx="23">
                  <c:v>16.353932390150227</c:v>
                </c:pt>
                <c:pt idx="24">
                  <c:v>16.353932390150227</c:v>
                </c:pt>
                <c:pt idx="25">
                  <c:v>16.353932390150227</c:v>
                </c:pt>
                <c:pt idx="26">
                  <c:v>16.353932390150227</c:v>
                </c:pt>
                <c:pt idx="27">
                  <c:v>16.353932390150227</c:v>
                </c:pt>
                <c:pt idx="28">
                  <c:v>16.353932390150227</c:v>
                </c:pt>
                <c:pt idx="29">
                  <c:v>16.353932390150227</c:v>
                </c:pt>
                <c:pt idx="30">
                  <c:v>16.353932390150227</c:v>
                </c:pt>
                <c:pt idx="31">
                  <c:v>15.896596612168885</c:v>
                </c:pt>
                <c:pt idx="32">
                  <c:v>14.931739788596037</c:v>
                </c:pt>
                <c:pt idx="33">
                  <c:v>14.011364819001322</c:v>
                </c:pt>
                <c:pt idx="34">
                  <c:v>13.132464956587569</c:v>
                </c:pt>
                <c:pt idx="35">
                  <c:v>12.292298470998471</c:v>
                </c:pt>
                <c:pt idx="36">
                  <c:v>11.488360079455454</c:v>
                </c:pt>
                <c:pt idx="37">
                  <c:v>10.718355995576893</c:v>
                </c:pt>
                <c:pt idx="38">
                  <c:v>9.9801820724670485</c:v>
                </c:pt>
                <c:pt idx="39">
                  <c:v>9.2719046014559297</c:v>
                </c:pt>
                <c:pt idx="40">
                  <c:v>8.5917433975182611</c:v>
                </c:pt>
                <c:pt idx="41">
                  <c:v>7.9380568598472303</c:v>
                </c:pt>
                <c:pt idx="42">
                  <c:v>7.3093287436360059</c:v>
                </c:pt>
                <c:pt idx="43">
                  <c:v>6.7041564186759759</c:v>
                </c:pt>
                <c:pt idx="44">
                  <c:v>6.1212404233901738</c:v>
                </c:pt>
                <c:pt idx="45">
                  <c:v>5.5593751505656259</c:v>
                </c:pt>
                <c:pt idx="46">
                  <c:v>5.017440524280917</c:v>
                </c:pt>
                <c:pt idx="47">
                  <c:v>4.4943945471135303</c:v>
                </c:pt>
                <c:pt idx="48">
                  <c:v>3.989266613280642</c:v>
                </c:pt>
                <c:pt idx="49">
                  <c:v>3.5011514974244831</c:v>
                </c:pt>
                <c:pt idx="50">
                  <c:v>3.0292039407158251</c:v>
                </c:pt>
                <c:pt idx="51">
                  <c:v>2.5726337661575167</c:v>
                </c:pt>
                <c:pt idx="52">
                  <c:v>2.1307014637055692</c:v>
                </c:pt>
                <c:pt idx="53">
                  <c:v>1.7027141933205163</c:v>
                </c:pt>
                <c:pt idx="54">
                  <c:v>1.288022160509164</c:v>
                </c:pt>
                <c:pt idx="55">
                  <c:v>0.88601532447677744</c:v>
                </c:pt>
                <c:pt idx="56">
                  <c:v>0.49612040381585043</c:v>
                </c:pt>
                <c:pt idx="57">
                  <c:v>0.11779814882183626</c:v>
                </c:pt>
                <c:pt idx="58">
                  <c:v>-0.24945914685773829</c:v>
                </c:pt>
                <c:pt idx="59">
                  <c:v>-0.6061299193873122</c:v>
                </c:pt>
                <c:pt idx="60">
                  <c:v>-0.95266541412226857</c:v>
                </c:pt>
                <c:pt idx="61">
                  <c:v>-1.289491590206274</c:v>
                </c:pt>
                <c:pt idx="62">
                  <c:v>-1.6170108672898591</c:v>
                </c:pt>
                <c:pt idx="63">
                  <c:v>-1.9356037294305564</c:v>
                </c:pt>
                <c:pt idx="64">
                  <c:v>-2.2456301996149977</c:v>
                </c:pt>
                <c:pt idx="65">
                  <c:v>-2.5474311969170937</c:v>
                </c:pt>
                <c:pt idx="66">
                  <c:v>-2.8413297870480587</c:v>
                </c:pt>
                <c:pt idx="67">
                  <c:v>-3.1276323359420481</c:v>
                </c:pt>
                <c:pt idx="68">
                  <c:v>-3.4066295750370013</c:v>
                </c:pt>
                <c:pt idx="69">
                  <c:v>-3.6785975860374061</c:v>
                </c:pt>
                <c:pt idx="70">
                  <c:v>-3.9437987121709326</c:v>
                </c:pt>
                <c:pt idx="71">
                  <c:v>-4.2024824022614258</c:v>
                </c:pt>
                <c:pt idx="72">
                  <c:v>-4.4548859933268723</c:v>
                </c:pt>
                <c:pt idx="73">
                  <c:v>-4.7012354368632607</c:v>
                </c:pt>
                <c:pt idx="74">
                  <c:v>-4.9417459734858475</c:v>
                </c:pt>
                <c:pt idx="75">
                  <c:v>-5.1766227601618295</c:v>
                </c:pt>
                <c:pt idx="76">
                  <c:v>-5.4060614538760809</c:v>
                </c:pt>
                <c:pt idx="77">
                  <c:v>-5.6302487552201139</c:v>
                </c:pt>
                <c:pt idx="78">
                  <c:v>-5.8493629150783377</c:v>
                </c:pt>
                <c:pt idx="79">
                  <c:v>-6.0635742073016976</c:v>
                </c:pt>
                <c:pt idx="80">
                  <c:v>-6.2730453700029605</c:v>
                </c:pt>
                <c:pt idx="81">
                  <c:v>-6.2769021218724061</c:v>
                </c:pt>
                <c:pt idx="82">
                  <c:v>-6.2769021218724061</c:v>
                </c:pt>
                <c:pt idx="83">
                  <c:v>-6.2769021218724061</c:v>
                </c:pt>
                <c:pt idx="84">
                  <c:v>-6.2769021218724061</c:v>
                </c:pt>
                <c:pt idx="85">
                  <c:v>-6.2769021218724061</c:v>
                </c:pt>
                <c:pt idx="86">
                  <c:v>-6.2769021218724061</c:v>
                </c:pt>
                <c:pt idx="87">
                  <c:v>-6.2769021218724061</c:v>
                </c:pt>
                <c:pt idx="88">
                  <c:v>-6.2769021218724061</c:v>
                </c:pt>
                <c:pt idx="89">
                  <c:v>-6.2769021218724061</c:v>
                </c:pt>
                <c:pt idx="90">
                  <c:v>-6.2769021218724061</c:v>
                </c:pt>
                <c:pt idx="91">
                  <c:v>-6.2769021218724061</c:v>
                </c:pt>
                <c:pt idx="92">
                  <c:v>-6.2769021218724061</c:v>
                </c:pt>
                <c:pt idx="93">
                  <c:v>-6.2769021218724061</c:v>
                </c:pt>
                <c:pt idx="94">
                  <c:v>-6.2769021218724061</c:v>
                </c:pt>
                <c:pt idx="95">
                  <c:v>-6.2769021218724061</c:v>
                </c:pt>
                <c:pt idx="96">
                  <c:v>-6.2769021218724061</c:v>
                </c:pt>
                <c:pt idx="97">
                  <c:v>-6.2769021218724061</c:v>
                </c:pt>
                <c:pt idx="98">
                  <c:v>-6.2769021218724061</c:v>
                </c:pt>
                <c:pt idx="99">
                  <c:v>-6.2769021218724061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2"/>
          <c:tx>
            <c:strRef>
              <c:f>UI!$AD$2</c:f>
              <c:strCache>
                <c:ptCount val="1"/>
                <c:pt idx="0">
                  <c:v>LDO-42STH48-1684MAH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14.27397070535026</c:v>
                </c:pt>
                <c:pt idx="1">
                  <c:v>14.27397070535026</c:v>
                </c:pt>
                <c:pt idx="2">
                  <c:v>14.27397070535026</c:v>
                </c:pt>
                <c:pt idx="3">
                  <c:v>14.27397070535026</c:v>
                </c:pt>
                <c:pt idx="4">
                  <c:v>14.27397070535026</c:v>
                </c:pt>
                <c:pt idx="5">
                  <c:v>14.27397070535026</c:v>
                </c:pt>
                <c:pt idx="6">
                  <c:v>14.27397070535026</c:v>
                </c:pt>
                <c:pt idx="7">
                  <c:v>14.27397070535026</c:v>
                </c:pt>
                <c:pt idx="8">
                  <c:v>14.27397070535026</c:v>
                </c:pt>
                <c:pt idx="9">
                  <c:v>14.27397070535026</c:v>
                </c:pt>
                <c:pt idx="10">
                  <c:v>14.27397070535026</c:v>
                </c:pt>
                <c:pt idx="11">
                  <c:v>14.27397070535026</c:v>
                </c:pt>
                <c:pt idx="12">
                  <c:v>14.27397070535026</c:v>
                </c:pt>
                <c:pt idx="13">
                  <c:v>14.27397070535026</c:v>
                </c:pt>
                <c:pt idx="14">
                  <c:v>14.27397070535026</c:v>
                </c:pt>
                <c:pt idx="15">
                  <c:v>14.27397070535026</c:v>
                </c:pt>
                <c:pt idx="16">
                  <c:v>14.27397070535026</c:v>
                </c:pt>
                <c:pt idx="17">
                  <c:v>14.27397070535026</c:v>
                </c:pt>
                <c:pt idx="18">
                  <c:v>14.27397070535026</c:v>
                </c:pt>
                <c:pt idx="19">
                  <c:v>14.27397070535026</c:v>
                </c:pt>
                <c:pt idx="20">
                  <c:v>14.27397070535026</c:v>
                </c:pt>
                <c:pt idx="21">
                  <c:v>14.27397070535026</c:v>
                </c:pt>
                <c:pt idx="22">
                  <c:v>14.27397070535026</c:v>
                </c:pt>
                <c:pt idx="23">
                  <c:v>14.27397070535026</c:v>
                </c:pt>
                <c:pt idx="24">
                  <c:v>14.27397070535026</c:v>
                </c:pt>
                <c:pt idx="25">
                  <c:v>13.86346543258467</c:v>
                </c:pt>
                <c:pt idx="26">
                  <c:v>12.839360954473891</c:v>
                </c:pt>
                <c:pt idx="27">
                  <c:v>11.879763703240913</c:v>
                </c:pt>
                <c:pt idx="28">
                  <c:v>10.978764912219264</c:v>
                </c:pt>
                <c:pt idx="29">
                  <c:v>10.131156079401</c:v>
                </c:pt>
                <c:pt idx="30">
                  <c:v>9.332328214628868</c:v>
                </c:pt>
                <c:pt idx="31">
                  <c:v>8.5781879955844449</c:v>
                </c:pt>
                <c:pt idx="32">
                  <c:v>7.8650876119911182</c:v>
                </c:pt>
                <c:pt idx="33">
                  <c:v>7.1897657599287932</c:v>
                </c:pt>
                <c:pt idx="34">
                  <c:v>6.5492977721308989</c:v>
                </c:pt>
                <c:pt idx="35">
                  <c:v>5.9410532754768592</c:v>
                </c:pt>
                <c:pt idx="36">
                  <c:v>5.3626600827164825</c:v>
                </c:pt>
                <c:pt idx="37">
                  <c:v>4.811973273206128</c:v>
                </c:pt>
                <c:pt idx="38">
                  <c:v>4.2870486130263394</c:v>
                </c:pt>
                <c:pt idx="39">
                  <c:v>3.7861196202054792</c:v>
                </c:pt>
                <c:pt idx="40">
                  <c:v>3.3075777048858264</c:v>
                </c:pt>
                <c:pt idx="41">
                  <c:v>2.8499549139658846</c:v>
                </c:pt>
                <c:pt idx="42">
                  <c:v>2.4119088902572798</c:v>
                </c:pt>
                <c:pt idx="43">
                  <c:v>1.9922097215264021</c:v>
                </c:pt>
                <c:pt idx="44">
                  <c:v>1.5897284080618039</c:v>
                </c:pt>
                <c:pt idx="45">
                  <c:v>1.2034267210423746</c:v>
                </c:pt>
                <c:pt idx="46">
                  <c:v>0.83234825987798189</c:v>
                </c:pt>
                <c:pt idx="47">
                  <c:v>0.47561054634766364</c:v>
                </c:pt>
                <c:pt idx="48">
                  <c:v>0.13239801795517891</c:v>
                </c:pt>
                <c:pt idx="49">
                  <c:v>-0.19804419660195371</c:v>
                </c:pt>
                <c:pt idx="50">
                  <c:v>-0.51641581984324514</c:v>
                </c:pt>
                <c:pt idx="51">
                  <c:v>-0.82336637144069957</c:v>
                </c:pt>
                <c:pt idx="52">
                  <c:v>-1.1194995912509205</c:v>
                </c:pt>
                <c:pt idx="53">
                  <c:v>-1.4053774028243069</c:v>
                </c:pt>
                <c:pt idx="54">
                  <c:v>-1.6815234721414916</c:v>
                </c:pt>
                <c:pt idx="55">
                  <c:v>-1.9484264089968226</c:v>
                </c:pt>
                <c:pt idx="56">
                  <c:v>-2.2065426522042308</c:v>
                </c:pt>
                <c:pt idx="57">
                  <c:v>-2.456299074466596</c:v>
                </c:pt>
                <c:pt idx="58">
                  <c:v>-2.6980953381803277</c:v>
                </c:pt>
                <c:pt idx="59">
                  <c:v>-2.9323060295228318</c:v>
                </c:pt>
                <c:pt idx="60">
                  <c:v>-3.1592825947916294</c:v>
                </c:pt>
                <c:pt idx="61">
                  <c:v>-3.3793551000476834</c:v>
                </c:pt>
                <c:pt idx="62">
                  <c:v>-3.5928338325923752</c:v>
                </c:pt>
                <c:pt idx="63">
                  <c:v>-3.8000107606196636</c:v>
                </c:pt>
                <c:pt idx="64">
                  <c:v>-4.0011608654833974</c:v>
                </c:pt>
                <c:pt idx="65">
                  <c:v>-4.1965433593636856</c:v>
                </c:pt>
                <c:pt idx="66">
                  <c:v>-4.3864027996706048</c:v>
                </c:pt>
                <c:pt idx="67">
                  <c:v>-4.5709701102594771</c:v>
                </c:pt>
                <c:pt idx="68">
                  <c:v>-4.7504635184240778</c:v>
                </c:pt>
                <c:pt idx="69">
                  <c:v>-4.9250894156615566</c:v>
                </c:pt>
                <c:pt idx="70">
                  <c:v>-5.0950431493473687</c:v>
                </c:pt>
                <c:pt idx="71">
                  <c:v>-5.2605097517046104</c:v>
                </c:pt>
                <c:pt idx="72">
                  <c:v>-5.4216646117867295</c:v>
                </c:pt>
                <c:pt idx="73">
                  <c:v>-5.5786740956041392</c:v>
                </c:pt>
                <c:pt idx="74">
                  <c:v>-5.731696119004047</c:v>
                </c:pt>
                <c:pt idx="75">
                  <c:v>-5.8808806774504934</c:v>
                </c:pt>
                <c:pt idx="76">
                  <c:v>-6.0263703364407153</c:v>
                </c:pt>
                <c:pt idx="77">
                  <c:v>-6.1683006859283562</c:v>
                </c:pt>
                <c:pt idx="78">
                  <c:v>-6.30680076179822</c:v>
                </c:pt>
                <c:pt idx="79">
                  <c:v>-6.4419934371463841</c:v>
                </c:pt>
                <c:pt idx="80">
                  <c:v>-6.5739957858596156</c:v>
                </c:pt>
                <c:pt idx="81">
                  <c:v>-6.7029194207552898</c:v>
                </c:pt>
                <c:pt idx="82">
                  <c:v>-6.8288708083345604</c:v>
                </c:pt>
                <c:pt idx="83">
                  <c:v>-6.9519515620143357</c:v>
                </c:pt>
                <c:pt idx="84">
                  <c:v>-7.0722587155354848</c:v>
                </c:pt>
                <c:pt idx="85">
                  <c:v>-7.1898849780933878</c:v>
                </c:pt>
                <c:pt idx="86">
                  <c:v>-7.3049189726006514</c:v>
                </c:pt>
                <c:pt idx="87">
                  <c:v>-7.4174454583688849</c:v>
                </c:pt>
                <c:pt idx="88">
                  <c:v>-7.5275455393854438</c:v>
                </c:pt>
                <c:pt idx="89">
                  <c:v>-7.6352968592606878</c:v>
                </c:pt>
                <c:pt idx="90">
                  <c:v>-7.7407737838304982</c:v>
                </c:pt>
                <c:pt idx="91">
                  <c:v>-7.8440475723165477</c:v>
                </c:pt>
                <c:pt idx="92">
                  <c:v>-7.9042471164319199</c:v>
                </c:pt>
                <c:pt idx="93">
                  <c:v>-7.9042471164319199</c:v>
                </c:pt>
                <c:pt idx="94">
                  <c:v>-7.9042471164319199</c:v>
                </c:pt>
                <c:pt idx="95">
                  <c:v>-7.9042471164319199</c:v>
                </c:pt>
                <c:pt idx="96">
                  <c:v>-7.9042471164319199</c:v>
                </c:pt>
                <c:pt idx="97">
                  <c:v>-7.9042471164319199</c:v>
                </c:pt>
                <c:pt idx="98">
                  <c:v>-7.9042471164319199</c:v>
                </c:pt>
                <c:pt idx="99">
                  <c:v>-7.9042471164319199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3"/>
          <c:tx>
            <c:strRef>
              <c:f>UI!$AE$2</c:f>
              <c:strCache>
                <c:ptCount val="1"/>
                <c:pt idx="0">
                  <c:v>Moons-MS17HA2P4200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15.439444742801193</c:v>
                </c:pt>
                <c:pt idx="1">
                  <c:v>15.439444742801193</c:v>
                </c:pt>
                <c:pt idx="2">
                  <c:v>15.439444742801193</c:v>
                </c:pt>
                <c:pt idx="3">
                  <c:v>15.439444742801193</c:v>
                </c:pt>
                <c:pt idx="4">
                  <c:v>15.439444742801193</c:v>
                </c:pt>
                <c:pt idx="5">
                  <c:v>15.439444742801193</c:v>
                </c:pt>
                <c:pt idx="6">
                  <c:v>15.439444742801193</c:v>
                </c:pt>
                <c:pt idx="7">
                  <c:v>15.439444742801193</c:v>
                </c:pt>
                <c:pt idx="8">
                  <c:v>15.439444742801193</c:v>
                </c:pt>
                <c:pt idx="9">
                  <c:v>15.439444742801193</c:v>
                </c:pt>
                <c:pt idx="10">
                  <c:v>15.439444742801193</c:v>
                </c:pt>
                <c:pt idx="11">
                  <c:v>15.439444742801193</c:v>
                </c:pt>
                <c:pt idx="12">
                  <c:v>15.439444742801193</c:v>
                </c:pt>
                <c:pt idx="13">
                  <c:v>15.439444742801193</c:v>
                </c:pt>
                <c:pt idx="14">
                  <c:v>15.439444742801193</c:v>
                </c:pt>
                <c:pt idx="15">
                  <c:v>15.439444742801193</c:v>
                </c:pt>
                <c:pt idx="16">
                  <c:v>15.439444742801193</c:v>
                </c:pt>
                <c:pt idx="17">
                  <c:v>15.439444742801193</c:v>
                </c:pt>
                <c:pt idx="18">
                  <c:v>15.439444742801193</c:v>
                </c:pt>
                <c:pt idx="19">
                  <c:v>15.439444742801193</c:v>
                </c:pt>
                <c:pt idx="20">
                  <c:v>15.439444742801193</c:v>
                </c:pt>
                <c:pt idx="21">
                  <c:v>15.439444742801193</c:v>
                </c:pt>
                <c:pt idx="22">
                  <c:v>15.439444742801193</c:v>
                </c:pt>
                <c:pt idx="23">
                  <c:v>15.439444742801193</c:v>
                </c:pt>
                <c:pt idx="24">
                  <c:v>14.651954390671882</c:v>
                </c:pt>
                <c:pt idx="25">
                  <c:v>13.663142153401473</c:v>
                </c:pt>
                <c:pt idx="26">
                  <c:v>12.741624907890955</c:v>
                </c:pt>
                <c:pt idx="27">
                  <c:v>11.880758946174442</c:v>
                </c:pt>
                <c:pt idx="28">
                  <c:v>11.074747232405166</c:v>
                </c:pt>
                <c:pt idx="29">
                  <c:v>10.318508692724166</c:v>
                </c:pt>
                <c:pt idx="30">
                  <c:v>9.607570994856129</c:v>
                </c:pt>
                <c:pt idx="31">
                  <c:v>8.9379820357938229</c:v>
                </c:pt>
                <c:pt idx="32">
                  <c:v>8.3062364369138351</c:v>
                </c:pt>
                <c:pt idx="33">
                  <c:v>7.7092141594794095</c:v>
                </c:pt>
                <c:pt idx="34">
                  <c:v>7.1441289712437639</c:v>
                </c:pt>
                <c:pt idx="35">
                  <c:v>6.6084849677908162</c:v>
                </c:pt>
                <c:pt idx="36">
                  <c:v>6.1000397171104739</c:v>
                </c:pt>
                <c:pt idx="37">
                  <c:v>5.6167728794602718</c:v>
                </c:pt>
                <c:pt idx="38">
                  <c:v>5.1568593764582582</c:v>
                </c:pt>
                <c:pt idx="39">
                  <c:v>4.718646358131541</c:v>
                </c:pt>
                <c:pt idx="40">
                  <c:v>4.3006333551688973</c:v>
                </c:pt>
                <c:pt idx="41">
                  <c:v>3.901455114063169</c:v>
                </c:pt>
                <c:pt idx="42">
                  <c:v>3.5198667013670386</c:v>
                </c:pt>
                <c:pt idx="43">
                  <c:v>3.1547305346460197</c:v>
                </c:pt>
                <c:pt idx="44">
                  <c:v>2.8050050555197314</c:v>
                </c:pt>
                <c:pt idx="45">
                  <c:v>2.46973480723734</c:v>
                </c:pt>
                <c:pt idx="46">
                  <c:v>2.1480417177134372</c:v>
                </c:pt>
                <c:pt idx="47">
                  <c:v>1.8391174205573</c:v>
                </c:pt>
                <c:pt idx="48">
                  <c:v>1.5422164726999901</c:v>
                </c:pt>
                <c:pt idx="49">
                  <c:v>1.2566503488158673</c:v>
                </c:pt>
                <c:pt idx="50">
                  <c:v>0.9817821106875515</c:v>
                </c:pt>
                <c:pt idx="51">
                  <c:v>0.71702166464483152</c:v>
                </c:pt>
                <c:pt idx="52">
                  <c:v>0.46182153275522975</c:v>
                </c:pt>
                <c:pt idx="53">
                  <c:v>0.2156730739885262</c:v>
                </c:pt>
                <c:pt idx="54">
                  <c:v>-2.1896899531795633E-2</c:v>
                </c:pt>
                <c:pt idx="55">
                  <c:v>-0.25132915855658755</c:v>
                </c:pt>
                <c:pt idx="56">
                  <c:v>-0.47303478600451587</c:v>
                </c:pt>
                <c:pt idx="57">
                  <c:v>-0.68739763507708318</c:v>
                </c:pt>
                <c:pt idx="58">
                  <c:v>-0.8947765471176119</c:v>
                </c:pt>
                <c:pt idx="59">
                  <c:v>-1.0955073561715043</c:v>
                </c:pt>
                <c:pt idx="60">
                  <c:v>-1.2899047038027414</c:v>
                </c:pt>
                <c:pt idx="61">
                  <c:v>-1.4782636847949941</c:v>
                </c:pt>
                <c:pt idx="62">
                  <c:v>-1.6608613418418861</c:v>
                </c:pt>
                <c:pt idx="63">
                  <c:v>-1.8379580251492298</c:v>
                </c:pt>
                <c:pt idx="64">
                  <c:v>-2.0097986309817779</c:v>
                </c:pt>
                <c:pt idx="65">
                  <c:v>-2.1766137315455172</c:v>
                </c:pt>
                <c:pt idx="66">
                  <c:v>-2.3386206071678437</c:v>
                </c:pt>
                <c:pt idx="67">
                  <c:v>-2.4960241904920917</c:v>
                </c:pt>
                <c:pt idx="68">
                  <c:v>-2.6490179313139892</c:v>
                </c:pt>
                <c:pt idx="69">
                  <c:v>-2.797784589734075</c:v>
                </c:pt>
                <c:pt idx="70">
                  <c:v>-2.9424969644636532</c:v>
                </c:pt>
                <c:pt idx="71">
                  <c:v>-3.0833185623864394</c:v>
                </c:pt>
                <c:pt idx="72">
                  <c:v>-3.2204042148305203</c:v>
                </c:pt>
                <c:pt idx="73">
                  <c:v>-3.3539006454340194</c:v>
                </c:pt>
                <c:pt idx="74">
                  <c:v>-3.4839469939829892</c:v>
                </c:pt>
                <c:pt idx="75">
                  <c:v>-3.6106753001532232</c:v>
                </c:pt>
                <c:pt idx="76">
                  <c:v>-3.7342109506914705</c:v>
                </c:pt>
                <c:pt idx="77">
                  <c:v>-3.8546730932196742</c:v>
                </c:pt>
                <c:pt idx="78">
                  <c:v>-3.972175019532965</c:v>
                </c:pt>
                <c:pt idx="79">
                  <c:v>-4.0868245209833152</c:v>
                </c:pt>
                <c:pt idx="80">
                  <c:v>-4.1987242182921687</c:v>
                </c:pt>
                <c:pt idx="81">
                  <c:v>-4.3079718679131744</c:v>
                </c:pt>
                <c:pt idx="82">
                  <c:v>-4.414660646867425</c:v>
                </c:pt>
                <c:pt idx="83">
                  <c:v>-4.5188794177955813</c:v>
                </c:pt>
                <c:pt idx="84">
                  <c:v>-4.620712975811581</c:v>
                </c:pt>
                <c:pt idx="85">
                  <c:v>-4.7202422785991818</c:v>
                </c:pt>
                <c:pt idx="86">
                  <c:v>-4.8175446610635948</c:v>
                </c:pt>
                <c:pt idx="87">
                  <c:v>-4.9126940357343543</c:v>
                </c:pt>
                <c:pt idx="88">
                  <c:v>-5.005761080010811</c:v>
                </c:pt>
                <c:pt idx="89">
                  <c:v>-5.096813411247183</c:v>
                </c:pt>
                <c:pt idx="90">
                  <c:v>-5.1859157505886415</c:v>
                </c:pt>
                <c:pt idx="91">
                  <c:v>-5.2731300763927011</c:v>
                </c:pt>
                <c:pt idx="92">
                  <c:v>-5.3585157680001911</c:v>
                </c:pt>
                <c:pt idx="93">
                  <c:v>-5.4421297405566555</c:v>
                </c:pt>
                <c:pt idx="94">
                  <c:v>-5.5240265715274548</c:v>
                </c:pt>
                <c:pt idx="95">
                  <c:v>-5.6042586194975499</c:v>
                </c:pt>
                <c:pt idx="96">
                  <c:v>-5.6828761357993596</c:v>
                </c:pt>
                <c:pt idx="97">
                  <c:v>-5.7599273694687954</c:v>
                </c:pt>
                <c:pt idx="98">
                  <c:v>-5.8354586659901004</c:v>
                </c:pt>
                <c:pt idx="99">
                  <c:v>-5.9095145602541601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4"/>
          <c:tx>
            <c:strRef>
              <c:f>UI!$AF$2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11.549016297039415</c:v>
                </c:pt>
                <c:pt idx="1">
                  <c:v>11.549016297039415</c:v>
                </c:pt>
                <c:pt idx="2">
                  <c:v>11.549016297039415</c:v>
                </c:pt>
                <c:pt idx="3">
                  <c:v>11.549016297039415</c:v>
                </c:pt>
                <c:pt idx="4">
                  <c:v>11.549016297039415</c:v>
                </c:pt>
                <c:pt idx="5">
                  <c:v>11.549016297039415</c:v>
                </c:pt>
                <c:pt idx="6">
                  <c:v>11.549016297039415</c:v>
                </c:pt>
                <c:pt idx="7">
                  <c:v>11.549016297039415</c:v>
                </c:pt>
                <c:pt idx="8">
                  <c:v>11.549016297039415</c:v>
                </c:pt>
                <c:pt idx="9">
                  <c:v>11.549016297039415</c:v>
                </c:pt>
                <c:pt idx="10">
                  <c:v>11.549016297039415</c:v>
                </c:pt>
                <c:pt idx="11">
                  <c:v>11.549016297039415</c:v>
                </c:pt>
                <c:pt idx="12">
                  <c:v>11.549016297039415</c:v>
                </c:pt>
                <c:pt idx="13">
                  <c:v>11.549016297039415</c:v>
                </c:pt>
                <c:pt idx="14">
                  <c:v>11.549016297039415</c:v>
                </c:pt>
                <c:pt idx="15">
                  <c:v>11.549016297039415</c:v>
                </c:pt>
                <c:pt idx="16">
                  <c:v>11.549016297039415</c:v>
                </c:pt>
                <c:pt idx="17">
                  <c:v>11.549016297039415</c:v>
                </c:pt>
                <c:pt idx="18">
                  <c:v>11.549016297039415</c:v>
                </c:pt>
                <c:pt idx="19">
                  <c:v>11.549016297039415</c:v>
                </c:pt>
                <c:pt idx="20">
                  <c:v>11.549016297039415</c:v>
                </c:pt>
                <c:pt idx="21">
                  <c:v>11.549016297039415</c:v>
                </c:pt>
                <c:pt idx="22">
                  <c:v>11.549016297039415</c:v>
                </c:pt>
                <c:pt idx="23">
                  <c:v>11.549016297039415</c:v>
                </c:pt>
                <c:pt idx="24">
                  <c:v>11.331688314099146</c:v>
                </c:pt>
                <c:pt idx="25">
                  <c:v>10.452596915944817</c:v>
                </c:pt>
                <c:pt idx="26">
                  <c:v>9.6331027527257547</c:v>
                </c:pt>
                <c:pt idx="27">
                  <c:v>8.8673440089017674</c:v>
                </c:pt>
                <c:pt idx="28">
                  <c:v>8.1502032009413519</c:v>
                </c:pt>
                <c:pt idx="29">
                  <c:v>7.477192668510213</c:v>
                </c:pt>
                <c:pt idx="30">
                  <c:v>6.8443605740394968</c:v>
                </c:pt>
                <c:pt idx="31">
                  <c:v>6.2482132496834488</c:v>
                </c:pt>
                <c:pt idx="32">
                  <c:v>5.68565066833564</c:v>
                </c:pt>
                <c:pt idx="33">
                  <c:v>5.1539125218355473</c:v>
                </c:pt>
                <c:pt idx="34">
                  <c:v>4.6505329264135753</c:v>
                </c:pt>
                <c:pt idx="35">
                  <c:v>4.173302186829801</c:v>
                </c:pt>
                <c:pt idx="36">
                  <c:v>3.7202343683327861</c:v>
                </c:pt>
                <c:pt idx="37">
                  <c:v>3.2895396726445867</c:v>
                </c:pt>
                <c:pt idx="38">
                  <c:v>2.8796008076752724</c:v>
                </c:pt>
                <c:pt idx="39">
                  <c:v>2.4889526931930188</c:v>
                </c:pt>
                <c:pt idx="40">
                  <c:v>2.1162649656425874</c:v>
                </c:pt>
                <c:pt idx="41">
                  <c:v>1.7603268418074514</c:v>
                </c:pt>
                <c:pt idx="42">
                  <c:v>1.4200339784251561</c:v>
                </c:pt>
                <c:pt idx="43">
                  <c:v>1.0943770272967566</c:v>
                </c:pt>
                <c:pt idx="44">
                  <c:v>0.78243163603383259</c:v>
                </c:pt>
                <c:pt idx="45">
                  <c:v>0.4833496857988937</c:v>
                </c:pt>
                <c:pt idx="46">
                  <c:v>0.19635159111472689</c:v>
                </c:pt>
                <c:pt idx="47">
                  <c:v>-7.9280485471731055E-2</c:v>
                </c:pt>
                <c:pt idx="48">
                  <c:v>-0.34420862821745324</c:v>
                </c:pt>
                <c:pt idx="49">
                  <c:v>-0.5990444779023063</c:v>
                </c:pt>
                <c:pt idx="50">
                  <c:v>-0.84435394607753356</c:v>
                </c:pt>
                <c:pt idx="51">
                  <c:v>-1.0806614103246899</c:v>
                </c:pt>
                <c:pt idx="52">
                  <c:v>-1.3084534559819101</c:v>
                </c:pt>
                <c:pt idx="53">
                  <c:v>-1.5281822205262889</c:v>
                </c:pt>
                <c:pt idx="54">
                  <c:v>-1.7402683889838046</c:v>
                </c:pt>
                <c:pt idx="55">
                  <c:v>-1.9451038821233739</c:v>
                </c:pt>
                <c:pt idx="56">
                  <c:v>-2.1430542735774294</c:v>
                </c:pt>
                <c:pt idx="57">
                  <c:v>-2.33446096725236</c:v>
                </c:pt>
                <c:pt idx="58">
                  <c:v>-2.5196431623123665</c:v>
                </c:pt>
                <c:pt idx="59">
                  <c:v>-2.6988996295281522</c:v>
                </c:pt>
                <c:pt idx="60">
                  <c:v>-2.8725103197844764</c:v>
                </c:pt>
                <c:pt idx="61">
                  <c:v>-3.0407378229616242</c:v>
                </c:pt>
                <c:pt idx="62">
                  <c:v>-3.2038286931810624</c:v>
                </c:pt>
                <c:pt idx="63">
                  <c:v>-3.3620146544820155</c:v>
                </c:pt>
                <c:pt idx="64">
                  <c:v>-3.5155136993284994</c:v>
                </c:pt>
                <c:pt idx="65">
                  <c:v>-3.6645310908982749</c:v>
                </c:pt>
                <c:pt idx="66">
                  <c:v>-3.8092602788446142</c:v>
                </c:pt>
                <c:pt idx="67">
                  <c:v>-3.9498837371220707</c:v>
                </c:pt>
                <c:pt idx="68">
                  <c:v>-4.0865737315062782</c:v>
                </c:pt>
                <c:pt idx="69">
                  <c:v>-4.2194930235957901</c:v>
                </c:pt>
                <c:pt idx="70">
                  <c:v>-4.3487955173452475</c:v>
                </c:pt>
                <c:pt idx="71">
                  <c:v>-4.474626853529502</c:v>
                </c:pt>
                <c:pt idx="72">
                  <c:v>-4.5971249569662351</c:v>
                </c:pt>
                <c:pt idx="73">
                  <c:v>-4.7164205408197741</c:v>
                </c:pt>
                <c:pt idx="74">
                  <c:v>-4.8326375718625556</c:v>
                </c:pt>
                <c:pt idx="75">
                  <c:v>-4.9458937001757111</c:v>
                </c:pt>
                <c:pt idx="76">
                  <c:v>-5.0563006564198512</c:v>
                </c:pt>
                <c:pt idx="77">
                  <c:v>-5.1639646194959994</c:v>
                </c:pt>
                <c:pt idx="78">
                  <c:v>-5.2689865571398355</c:v>
                </c:pt>
                <c:pt idx="79">
                  <c:v>-5.3714625417457516</c:v>
                </c:pt>
                <c:pt idx="80">
                  <c:v>-5.4714840434972807</c:v>
                </c:pt>
                <c:pt idx="81">
                  <c:v>-5.5691382026837797</c:v>
                </c:pt>
                <c:pt idx="82">
                  <c:v>-5.6645080829074157</c:v>
                </c:pt>
                <c:pt idx="83">
                  <c:v>-5.7576729067268886</c:v>
                </c:pt>
                <c:pt idx="84">
                  <c:v>-5.8487082751429096</c:v>
                </c:pt>
                <c:pt idx="85">
                  <c:v>-5.93768637220351</c:v>
                </c:pt>
                <c:pt idx="86">
                  <c:v>-6.024676155892946</c:v>
                </c:pt>
                <c:pt idx="87">
                  <c:v>-6.1097435363651371</c:v>
                </c:pt>
                <c:pt idx="88">
                  <c:v>-6.1929515424898085</c:v>
                </c:pt>
                <c:pt idx="89">
                  <c:v>-6.2743604775957609</c:v>
                </c:pt>
                <c:pt idx="90">
                  <c:v>-6.3540280652200458</c:v>
                </c:pt>
                <c:pt idx="91">
                  <c:v>-6.432009585603315</c:v>
                </c:pt>
                <c:pt idx="92">
                  <c:v>-6.5083580036096542</c:v>
                </c:pt>
                <c:pt idx="93">
                  <c:v>-6.5831240886929443</c:v>
                </c:pt>
                <c:pt idx="94">
                  <c:v>-6.6563565274807415</c:v>
                </c:pt>
                <c:pt idx="95">
                  <c:v>-6.7281020295003531</c:v>
                </c:pt>
                <c:pt idx="96">
                  <c:v>-6.7984054265295253</c:v>
                </c:pt>
                <c:pt idx="97">
                  <c:v>-6.867309766015814</c:v>
                </c:pt>
                <c:pt idx="98">
                  <c:v>-6.9348563989736949</c:v>
                </c:pt>
                <c:pt idx="99">
                  <c:v>-7.001085062736518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5"/>
          <c:tx>
            <c:strRef>
              <c:f>UI!$AG$2</c:f>
              <c:strCache>
                <c:ptCount val="1"/>
                <c:pt idx="0">
                  <c:v>LDO-42STH38-1684MAC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12.020127581097892</c:v>
                </c:pt>
                <c:pt idx="1">
                  <c:v>12.020127581097892</c:v>
                </c:pt>
                <c:pt idx="2">
                  <c:v>12.020127581097892</c:v>
                </c:pt>
                <c:pt idx="3">
                  <c:v>12.020127581097892</c:v>
                </c:pt>
                <c:pt idx="4">
                  <c:v>12.020127581097892</c:v>
                </c:pt>
                <c:pt idx="5">
                  <c:v>12.020127581097892</c:v>
                </c:pt>
                <c:pt idx="6">
                  <c:v>12.020127581097892</c:v>
                </c:pt>
                <c:pt idx="7">
                  <c:v>12.020127581097892</c:v>
                </c:pt>
                <c:pt idx="8">
                  <c:v>12.020127581097892</c:v>
                </c:pt>
                <c:pt idx="9">
                  <c:v>12.020127581097892</c:v>
                </c:pt>
                <c:pt idx="10">
                  <c:v>12.020127581097892</c:v>
                </c:pt>
                <c:pt idx="11">
                  <c:v>12.020127581097892</c:v>
                </c:pt>
                <c:pt idx="12">
                  <c:v>12.020127581097892</c:v>
                </c:pt>
                <c:pt idx="13">
                  <c:v>12.020127581097892</c:v>
                </c:pt>
                <c:pt idx="14">
                  <c:v>12.020127581097892</c:v>
                </c:pt>
                <c:pt idx="15">
                  <c:v>12.020127581097892</c:v>
                </c:pt>
                <c:pt idx="16">
                  <c:v>12.020127581097892</c:v>
                </c:pt>
                <c:pt idx="17">
                  <c:v>12.020127581097892</c:v>
                </c:pt>
                <c:pt idx="18">
                  <c:v>12.020127581097892</c:v>
                </c:pt>
                <c:pt idx="19">
                  <c:v>12.020127581097892</c:v>
                </c:pt>
                <c:pt idx="20">
                  <c:v>12.020127581097892</c:v>
                </c:pt>
                <c:pt idx="21">
                  <c:v>12.020127581097892</c:v>
                </c:pt>
                <c:pt idx="22">
                  <c:v>12.020127581097892</c:v>
                </c:pt>
                <c:pt idx="23">
                  <c:v>12.020127581097892</c:v>
                </c:pt>
                <c:pt idx="24">
                  <c:v>11.58698806985808</c:v>
                </c:pt>
                <c:pt idx="25">
                  <c:v>10.779149154167573</c:v>
                </c:pt>
                <c:pt idx="26">
                  <c:v>10.024663458782157</c:v>
                </c:pt>
                <c:pt idx="27">
                  <c:v>9.3184144232027535</c:v>
                </c:pt>
                <c:pt idx="28">
                  <c:v>8.6559194569077462</c:v>
                </c:pt>
                <c:pt idx="29">
                  <c:v>8.0332346990935335</c:v>
                </c:pt>
                <c:pt idx="30">
                  <c:v>7.4468764469418351</c:v>
                </c:pt>
                <c:pt idx="31">
                  <c:v>6.8937559454162036</c:v>
                </c:pt>
                <c:pt idx="32">
                  <c:v>6.3711249607536358</c:v>
                </c:pt>
                <c:pt idx="33">
                  <c:v>5.8765301129605723</c:v>
                </c:pt>
                <c:pt idx="34">
                  <c:v>5.4077743657261346</c:v>
                </c:pt>
                <c:pt idx="35">
                  <c:v>4.9628843983320943</c:v>
                </c:pt>
                <c:pt idx="36">
                  <c:v>4.5400828374331157</c:v>
                </c:pt>
                <c:pt idx="37">
                  <c:v>4.137764524654675</c:v>
                </c:pt>
                <c:pt idx="38">
                  <c:v>3.754476151869059</c:v>
                </c:pt>
                <c:pt idx="39">
                  <c:v>3.3888987195031008</c:v>
                </c:pt>
                <c:pt idx="40">
                  <c:v>3.0398323716257982</c:v>
                </c:pt>
                <c:pt idx="41">
                  <c:v>2.7061832404024289</c:v>
                </c:pt>
                <c:pt idx="42">
                  <c:v>2.3869519960094374</c:v>
                </c:pt>
                <c:pt idx="43">
                  <c:v>2.0812238495238615</c:v>
                </c:pt>
                <c:pt idx="44">
                  <c:v>1.7881597981356583</c:v>
                </c:pt>
                <c:pt idx="45">
                  <c:v>1.5069889362261248</c:v>
                </c:pt>
                <c:pt idx="46">
                  <c:v>1.2370016839300932</c:v>
                </c:pt>
                <c:pt idx="47">
                  <c:v>0.97754380794680262</c:v>
                </c:pt>
                <c:pt idx="48">
                  <c:v>0.72801112852722127</c:v>
                </c:pt>
                <c:pt idx="49">
                  <c:v>0.48784482249151306</c:v>
                </c:pt>
                <c:pt idx="50">
                  <c:v>0.25652724541582028</c:v>
                </c:pt>
                <c:pt idx="51">
                  <c:v>3.3578207250112513E-2</c:v>
                </c:pt>
                <c:pt idx="52">
                  <c:v>-0.18144835502710777</c:v>
                </c:pt>
                <c:pt idx="53">
                  <c:v>-0.38896735623556467</c:v>
                </c:pt>
                <c:pt idx="54">
                  <c:v>-0.58936523516000072</c:v>
                </c:pt>
                <c:pt idx="55">
                  <c:v>-0.78300235626691883</c:v>
                </c:pt>
                <c:pt idx="56">
                  <c:v>-0.97021517237581634</c:v>
                </c:pt>
                <c:pt idx="57">
                  <c:v>-1.1513181755898572</c:v>
                </c:pt>
                <c:pt idx="58">
                  <c:v>-1.3266056602836294</c:v>
                </c:pt>
                <c:pt idx="59">
                  <c:v>-1.4963533189373299</c:v>
                </c:pt>
                <c:pt idx="60">
                  <c:v>-1.6608196890193456</c:v>
                </c:pt>
                <c:pt idx="61">
                  <c:v>-1.820247466888719</c:v>
                </c:pt>
                <c:pt idx="62">
                  <c:v>-1.9748647027613622</c:v>
                </c:pt>
                <c:pt idx="63">
                  <c:v>-2.1248858891139113</c:v>
                </c:pt>
                <c:pt idx="64">
                  <c:v>-2.2705129534495239</c:v>
                </c:pt>
                <c:pt idx="65">
                  <c:v>-2.4119361650884144</c:v>
                </c:pt>
                <c:pt idx="66">
                  <c:v>-2.5493349645460905</c:v>
                </c:pt>
                <c:pt idx="67">
                  <c:v>-2.6828787231012128</c:v>
                </c:pt>
                <c:pt idx="68">
                  <c:v>-2.8127274393136754</c:v>
                </c:pt>
                <c:pt idx="69">
                  <c:v>-2.9390323785154293</c:v>
                </c:pt>
                <c:pt idx="70">
                  <c:v>-3.0619366606480121</c:v>
                </c:pt>
                <c:pt idx="71">
                  <c:v>-3.1815758012496516</c:v>
                </c:pt>
                <c:pt idx="72">
                  <c:v>-3.2980782098911163</c:v>
                </c:pt>
                <c:pt idx="73">
                  <c:v>-3.4115656499144742</c:v>
                </c:pt>
                <c:pt idx="74">
                  <c:v>-3.5221536629350174</c:v>
                </c:pt>
                <c:pt idx="75">
                  <c:v>-3.6299519612174986</c:v>
                </c:pt>
                <c:pt idx="76">
                  <c:v>-3.7350647907277392</c:v>
                </c:pt>
                <c:pt idx="77">
                  <c:v>-3.8375912673850752</c:v>
                </c:pt>
                <c:pt idx="78">
                  <c:v>-3.9376256887954679</c:v>
                </c:pt>
                <c:pt idx="79">
                  <c:v>-4.0352578235261785</c:v>
                </c:pt>
                <c:pt idx="80">
                  <c:v>-4.1305731797872767</c:v>
                </c:pt>
                <c:pt idx="81">
                  <c:v>-4.2236532552102446</c:v>
                </c:pt>
                <c:pt idx="82">
                  <c:v>-4.3145757692572548</c:v>
                </c:pt>
                <c:pt idx="83">
                  <c:v>-4.4034148796541466</c:v>
                </c:pt>
                <c:pt idx="84">
                  <c:v>-4.490241384113836</c:v>
                </c:pt>
                <c:pt idx="85">
                  <c:v>-4.5751229085034666</c:v>
                </c:pt>
                <c:pt idx="86">
                  <c:v>-4.658124082506351</c:v>
                </c:pt>
                <c:pt idx="87">
                  <c:v>-4.7393067037376744</c:v>
                </c:pt>
                <c:pt idx="88">
                  <c:v>-4.8187298911897853</c:v>
                </c:pt>
                <c:pt idx="89">
                  <c:v>-4.8964502288077867</c:v>
                </c:pt>
                <c:pt idx="90">
                  <c:v>-4.9725218999281999</c:v>
                </c:pt>
                <c:pt idx="91">
                  <c:v>-5.0469968132519645</c:v>
                </c:pt>
                <c:pt idx="92">
                  <c:v>-5.1199247209672327</c:v>
                </c:pt>
                <c:pt idx="93">
                  <c:v>-5.1913533295868293</c:v>
                </c:pt>
                <c:pt idx="94">
                  <c:v>-5.2613284040192649</c:v>
                </c:pt>
                <c:pt idx="95">
                  <c:v>-5.3298938653503711</c:v>
                </c:pt>
                <c:pt idx="96">
                  <c:v>-5.3970918827745722</c:v>
                </c:pt>
                <c:pt idx="97">
                  <c:v>-5.4629629600801408</c:v>
                </c:pt>
                <c:pt idx="98">
                  <c:v>-5.527546017061141</c:v>
                </c:pt>
                <c:pt idx="99">
                  <c:v>-5.5908784661999045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ser>
          <c:idx val="16"/>
          <c:order val="16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23.554931577600509</c:v>
                </c:pt>
                <c:pt idx="1">
                  <c:v>23.554931577600509</c:v>
                </c:pt>
                <c:pt idx="2">
                  <c:v>23.554931577600509</c:v>
                </c:pt>
                <c:pt idx="3">
                  <c:v>23.554931577600509</c:v>
                </c:pt>
                <c:pt idx="4">
                  <c:v>23.554931577600509</c:v>
                </c:pt>
                <c:pt idx="5">
                  <c:v>23.554931577600509</c:v>
                </c:pt>
                <c:pt idx="6">
                  <c:v>23.554931577600509</c:v>
                </c:pt>
                <c:pt idx="7">
                  <c:v>23.554931577600509</c:v>
                </c:pt>
                <c:pt idx="8">
                  <c:v>23.554931577600509</c:v>
                </c:pt>
                <c:pt idx="9">
                  <c:v>23.554931577600509</c:v>
                </c:pt>
                <c:pt idx="10">
                  <c:v>23.554931577600509</c:v>
                </c:pt>
                <c:pt idx="11">
                  <c:v>23.554931577600509</c:v>
                </c:pt>
                <c:pt idx="12">
                  <c:v>23.554931577600509</c:v>
                </c:pt>
                <c:pt idx="13">
                  <c:v>23.554931577600509</c:v>
                </c:pt>
                <c:pt idx="14">
                  <c:v>23.554931577600509</c:v>
                </c:pt>
                <c:pt idx="15">
                  <c:v>23.554931577600509</c:v>
                </c:pt>
                <c:pt idx="16">
                  <c:v>23.554931577600509</c:v>
                </c:pt>
                <c:pt idx="17">
                  <c:v>23.554931577600509</c:v>
                </c:pt>
                <c:pt idx="18">
                  <c:v>23.554931577600509</c:v>
                </c:pt>
                <c:pt idx="19">
                  <c:v>23.554931577600509</c:v>
                </c:pt>
                <c:pt idx="20">
                  <c:v>23.554931577600509</c:v>
                </c:pt>
                <c:pt idx="21">
                  <c:v>23.554931577600509</c:v>
                </c:pt>
                <c:pt idx="22">
                  <c:v>23.554931577600509</c:v>
                </c:pt>
                <c:pt idx="23">
                  <c:v>23.554931577600509</c:v>
                </c:pt>
                <c:pt idx="24">
                  <c:v>23.554931577600509</c:v>
                </c:pt>
                <c:pt idx="25">
                  <c:v>23.554931577600509</c:v>
                </c:pt>
                <c:pt idx="26">
                  <c:v>23.554931577600509</c:v>
                </c:pt>
                <c:pt idx="27">
                  <c:v>23.554931577600509</c:v>
                </c:pt>
                <c:pt idx="28">
                  <c:v>23.554931577600509</c:v>
                </c:pt>
                <c:pt idx="29">
                  <c:v>23.554931577600509</c:v>
                </c:pt>
                <c:pt idx="30">
                  <c:v>23.554931577600509</c:v>
                </c:pt>
                <c:pt idx="31">
                  <c:v>23.554931577600509</c:v>
                </c:pt>
                <c:pt idx="32">
                  <c:v>23.554931577600509</c:v>
                </c:pt>
                <c:pt idx="33">
                  <c:v>23.554931577600509</c:v>
                </c:pt>
                <c:pt idx="34">
                  <c:v>23.554931577600509</c:v>
                </c:pt>
                <c:pt idx="35">
                  <c:v>23.554931577600509</c:v>
                </c:pt>
                <c:pt idx="36">
                  <c:v>23.554931577600509</c:v>
                </c:pt>
                <c:pt idx="37">
                  <c:v>23.554931577600509</c:v>
                </c:pt>
                <c:pt idx="38">
                  <c:v>23.554931577600509</c:v>
                </c:pt>
                <c:pt idx="39">
                  <c:v>23.554931577600509</c:v>
                </c:pt>
                <c:pt idx="40">
                  <c:v>23.554931577600509</c:v>
                </c:pt>
                <c:pt idx="41">
                  <c:v>23.554931577600509</c:v>
                </c:pt>
                <c:pt idx="42">
                  <c:v>23.554931577600509</c:v>
                </c:pt>
                <c:pt idx="43">
                  <c:v>23.554931577600509</c:v>
                </c:pt>
                <c:pt idx="44">
                  <c:v>23.554931577600509</c:v>
                </c:pt>
                <c:pt idx="45">
                  <c:v>23.554931577600509</c:v>
                </c:pt>
                <c:pt idx="46">
                  <c:v>23.554931577600509</c:v>
                </c:pt>
                <c:pt idx="47">
                  <c:v>23.554931577600509</c:v>
                </c:pt>
                <c:pt idx="48">
                  <c:v>23.554931577600509</c:v>
                </c:pt>
                <c:pt idx="49">
                  <c:v>23.554931577600509</c:v>
                </c:pt>
                <c:pt idx="50">
                  <c:v>23.554931577600509</c:v>
                </c:pt>
                <c:pt idx="51">
                  <c:v>23.554931577600509</c:v>
                </c:pt>
                <c:pt idx="52">
                  <c:v>23.554931577600509</c:v>
                </c:pt>
                <c:pt idx="53">
                  <c:v>23.554931577600509</c:v>
                </c:pt>
                <c:pt idx="54">
                  <c:v>23.554931577600509</c:v>
                </c:pt>
                <c:pt idx="55">
                  <c:v>23.554931577600509</c:v>
                </c:pt>
                <c:pt idx="56">
                  <c:v>23.554931577600509</c:v>
                </c:pt>
                <c:pt idx="57">
                  <c:v>23.554931577600509</c:v>
                </c:pt>
                <c:pt idx="58">
                  <c:v>23.554931577600509</c:v>
                </c:pt>
                <c:pt idx="59">
                  <c:v>23.554931577600509</c:v>
                </c:pt>
                <c:pt idx="60">
                  <c:v>23.554931577600509</c:v>
                </c:pt>
                <c:pt idx="61">
                  <c:v>23.554931577600509</c:v>
                </c:pt>
                <c:pt idx="62">
                  <c:v>23.554931577600509</c:v>
                </c:pt>
                <c:pt idx="63">
                  <c:v>23.554931577600509</c:v>
                </c:pt>
                <c:pt idx="64">
                  <c:v>23.554931577600509</c:v>
                </c:pt>
                <c:pt idx="65">
                  <c:v>23.554931577600509</c:v>
                </c:pt>
                <c:pt idx="66">
                  <c:v>23.554931577600509</c:v>
                </c:pt>
                <c:pt idx="67">
                  <c:v>23.554931577600509</c:v>
                </c:pt>
                <c:pt idx="68">
                  <c:v>23.554931577600509</c:v>
                </c:pt>
                <c:pt idx="69">
                  <c:v>23.554931577600509</c:v>
                </c:pt>
                <c:pt idx="70">
                  <c:v>23.554931577600509</c:v>
                </c:pt>
                <c:pt idx="71">
                  <c:v>23.554931577600509</c:v>
                </c:pt>
                <c:pt idx="72">
                  <c:v>23.554931577600509</c:v>
                </c:pt>
                <c:pt idx="73">
                  <c:v>23.554931577600509</c:v>
                </c:pt>
                <c:pt idx="74">
                  <c:v>23.554931577600509</c:v>
                </c:pt>
                <c:pt idx="75">
                  <c:v>23.554931577600509</c:v>
                </c:pt>
                <c:pt idx="76">
                  <c:v>23.554931577600509</c:v>
                </c:pt>
                <c:pt idx="77">
                  <c:v>23.554931577600509</c:v>
                </c:pt>
                <c:pt idx="78">
                  <c:v>23.554931577600509</c:v>
                </c:pt>
                <c:pt idx="79">
                  <c:v>23.554931577600509</c:v>
                </c:pt>
                <c:pt idx="80">
                  <c:v>23.554931577600509</c:v>
                </c:pt>
                <c:pt idx="81">
                  <c:v>23.554931577600509</c:v>
                </c:pt>
                <c:pt idx="82">
                  <c:v>23.554931577600509</c:v>
                </c:pt>
                <c:pt idx="83">
                  <c:v>23.554931577600509</c:v>
                </c:pt>
                <c:pt idx="84">
                  <c:v>23.554931577600509</c:v>
                </c:pt>
                <c:pt idx="85">
                  <c:v>23.554931577600509</c:v>
                </c:pt>
                <c:pt idx="86">
                  <c:v>23.554931577600509</c:v>
                </c:pt>
                <c:pt idx="87">
                  <c:v>23.554931577600509</c:v>
                </c:pt>
                <c:pt idx="88">
                  <c:v>23.554931577600509</c:v>
                </c:pt>
                <c:pt idx="89">
                  <c:v>23.554931577600509</c:v>
                </c:pt>
                <c:pt idx="90">
                  <c:v>23.554931577600509</c:v>
                </c:pt>
                <c:pt idx="91">
                  <c:v>23.554931577600509</c:v>
                </c:pt>
                <c:pt idx="92">
                  <c:v>23.554931577600509</c:v>
                </c:pt>
                <c:pt idx="93">
                  <c:v>23.554931577600509</c:v>
                </c:pt>
                <c:pt idx="94">
                  <c:v>23.554931577600509</c:v>
                </c:pt>
                <c:pt idx="95">
                  <c:v>23.554931577600509</c:v>
                </c:pt>
                <c:pt idx="96">
                  <c:v>23.554931577600509</c:v>
                </c:pt>
                <c:pt idx="97">
                  <c:v>23.554931577600509</c:v>
                </c:pt>
                <c:pt idx="98">
                  <c:v>23.554931577600509</c:v>
                </c:pt>
                <c:pt idx="99">
                  <c:v>23.554931577600509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ax val="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Single Coil 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74k, 500g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UI!$AK$2</c:f>
              <c:strCache>
                <c:ptCount val="1"/>
                <c:pt idx="0">
                  <c:v>LDO-42STH60-2004AH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UI!$AK$3:$AK$102</c:f>
              <c:numCache>
                <c:formatCode>0.0</c:formatCode>
                <c:ptCount val="100"/>
                <c:pt idx="0">
                  <c:v>5.8602742574257434</c:v>
                </c:pt>
                <c:pt idx="1">
                  <c:v>6.6005485148514857</c:v>
                </c:pt>
                <c:pt idx="2">
                  <c:v>7.3408227722772281</c:v>
                </c:pt>
                <c:pt idx="3">
                  <c:v>8.0810970297029723</c:v>
                </c:pt>
                <c:pt idx="4">
                  <c:v>8.8213712871287147</c:v>
                </c:pt>
                <c:pt idx="5">
                  <c:v>9.561645544554457</c:v>
                </c:pt>
                <c:pt idx="6">
                  <c:v>10.301919801980199</c:v>
                </c:pt>
                <c:pt idx="7">
                  <c:v>11.042194059405944</c:v>
                </c:pt>
                <c:pt idx="8">
                  <c:v>11.782468316831686</c:v>
                </c:pt>
                <c:pt idx="9">
                  <c:v>12.522742574257428</c:v>
                </c:pt>
                <c:pt idx="10">
                  <c:v>13.263016831683172</c:v>
                </c:pt>
                <c:pt idx="11">
                  <c:v>14.003291089108913</c:v>
                </c:pt>
                <c:pt idx="12">
                  <c:v>14.743565346534655</c:v>
                </c:pt>
                <c:pt idx="13">
                  <c:v>15.4838396039604</c:v>
                </c:pt>
                <c:pt idx="14">
                  <c:v>16.224113861386144</c:v>
                </c:pt>
                <c:pt idx="15">
                  <c:v>16.964388118811883</c:v>
                </c:pt>
                <c:pt idx="16">
                  <c:v>17.704662376237629</c:v>
                </c:pt>
                <c:pt idx="17">
                  <c:v>18.444936633663371</c:v>
                </c:pt>
                <c:pt idx="18">
                  <c:v>19.18521089108911</c:v>
                </c:pt>
                <c:pt idx="19">
                  <c:v>19.925485148514856</c:v>
                </c:pt>
                <c:pt idx="20">
                  <c:v>20.665759405940602</c:v>
                </c:pt>
                <c:pt idx="21">
                  <c:v>21.40603366336634</c:v>
                </c:pt>
                <c:pt idx="22">
                  <c:v>22.146307920792083</c:v>
                </c:pt>
                <c:pt idx="23">
                  <c:v>22.342577122662146</c:v>
                </c:pt>
                <c:pt idx="24">
                  <c:v>21.260351974843349</c:v>
                </c:pt>
                <c:pt idx="25">
                  <c:v>20.231699831507367</c:v>
                </c:pt>
                <c:pt idx="26">
                  <c:v>19.248770968049172</c:v>
                </c:pt>
                <c:pt idx="27">
                  <c:v>18.304945316651541</c:v>
                </c:pt>
                <c:pt idx="28">
                  <c:v>17.394618578044806</c:v>
                </c:pt>
                <c:pt idx="29">
                  <c:v>16.513029549970028</c:v>
                </c:pt>
                <c:pt idx="30">
                  <c:v>15.65611995375968</c:v>
                </c:pt>
                <c:pt idx="31">
                  <c:v>14.820420045303976</c:v>
                </c:pt>
                <c:pt idx="32">
                  <c:v>14.002954804750411</c:v>
                </c:pt>
                <c:pt idx="33">
                  <c:v>13.201166642219071</c:v>
                </c:pt>
                <c:pt idx="34">
                  <c:v>12.412851429182936</c:v>
                </c:pt>
                <c:pt idx="35">
                  <c:v>11.636105335504928</c:v>
                </c:pt>
                <c:pt idx="36">
                  <c:v>10.869280470524094</c:v>
                </c:pt>
                <c:pt idx="37">
                  <c:v>10.110947729919831</c:v>
                </c:pt>
                <c:pt idx="38">
                  <c:v>9.359865565710745</c:v>
                </c:pt>
                <c:pt idx="39">
                  <c:v>8.6149536450979394</c:v>
                </c:pt>
                <c:pt idx="40">
                  <c:v>7.8752705603069026</c:v>
                </c:pt>
                <c:pt idx="41">
                  <c:v>7.1399949077471243</c:v>
                </c:pt>
                <c:pt idx="42">
                  <c:v>6.4084091795477569</c:v>
                </c:pt>
                <c:pt idx="43">
                  <c:v>5.6798860106216917</c:v>
                </c:pt>
                <c:pt idx="44">
                  <c:v>4.9538764050811572</c:v>
                </c:pt>
                <c:pt idx="45">
                  <c:v>4.2298996311178305</c:v>
                </c:pt>
                <c:pt idx="46">
                  <c:v>3.5075345265146374</c:v>
                </c:pt>
                <c:pt idx="47">
                  <c:v>2.7864120002354684</c:v>
                </c:pt>
                <c:pt idx="48">
                  <c:v>2.066208550974499</c:v>
                </c:pt>
                <c:pt idx="49">
                  <c:v>1.3466406526643471</c:v>
                </c:pt>
                <c:pt idx="50">
                  <c:v>0.62745988095011429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UI!$AL$2</c:f>
              <c:strCache>
                <c:ptCount val="1"/>
                <c:pt idx="0">
                  <c:v>Moons-MS17HDBP4100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UI!$AL$3:$AL$102</c:f>
              <c:numCache>
                <c:formatCode>0.0</c:formatCode>
                <c:ptCount val="100"/>
                <c:pt idx="0">
                  <c:v>4.3127213578500703</c:v>
                </c:pt>
                <c:pt idx="1">
                  <c:v>5.0414427157001418</c:v>
                </c:pt>
                <c:pt idx="2">
                  <c:v>5.7701640735502124</c:v>
                </c:pt>
                <c:pt idx="3">
                  <c:v>6.4988854314002822</c:v>
                </c:pt>
                <c:pt idx="4">
                  <c:v>7.2276067892503537</c:v>
                </c:pt>
                <c:pt idx="5">
                  <c:v>7.9563281471004252</c:v>
                </c:pt>
                <c:pt idx="6">
                  <c:v>8.6850495049504968</c:v>
                </c:pt>
                <c:pt idx="7">
                  <c:v>9.4137708628005665</c:v>
                </c:pt>
                <c:pt idx="8">
                  <c:v>10.142492220650638</c:v>
                </c:pt>
                <c:pt idx="9">
                  <c:v>10.871213578500708</c:v>
                </c:pt>
                <c:pt idx="10">
                  <c:v>10.990545819396612</c:v>
                </c:pt>
                <c:pt idx="11">
                  <c:v>9.9310787418559645</c:v>
                </c:pt>
                <c:pt idx="12">
                  <c:v>8.9895480372897065</c:v>
                </c:pt>
                <c:pt idx="13">
                  <c:v>8.1351244333822343</c:v>
                </c:pt>
                <c:pt idx="14">
                  <c:v>7.3454909606306229</c:v>
                </c:pt>
                <c:pt idx="15">
                  <c:v>6.6042782644735025</c:v>
                </c:pt>
                <c:pt idx="16">
                  <c:v>5.899340893781182</c:v>
                </c:pt>
                <c:pt idx="17">
                  <c:v>5.221577006054468</c:v>
                </c:pt>
                <c:pt idx="18">
                  <c:v>4.5641065357206534</c:v>
                </c:pt>
                <c:pt idx="19">
                  <c:v>3.9216902594753025</c:v>
                </c:pt>
                <c:pt idx="20">
                  <c:v>3.2903134995284891</c:v>
                </c:pt>
                <c:pt idx="21">
                  <c:v>2.6668840819922637</c:v>
                </c:pt>
                <c:pt idx="22">
                  <c:v>2.0490107013014534</c:v>
                </c:pt>
                <c:pt idx="23">
                  <c:v>1.4348385981864744</c:v>
                </c:pt>
                <c:pt idx="24">
                  <c:v>0.82292657370492317</c:v>
                </c:pt>
                <c:pt idx="25">
                  <c:v>0.21215414031302934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UI!$AM$2</c:f>
              <c:strCache>
                <c:ptCount val="1"/>
                <c:pt idx="0">
                  <c:v>OMC-17HS19-2004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4.1083239038189534</c:v>
                </c:pt>
                <c:pt idx="1">
                  <c:v>4.6326478076379063</c:v>
                </c:pt>
                <c:pt idx="2">
                  <c:v>5.1569717114568601</c:v>
                </c:pt>
                <c:pt idx="3">
                  <c:v>5.6812956152758138</c:v>
                </c:pt>
                <c:pt idx="4">
                  <c:v>6.2056195190947667</c:v>
                </c:pt>
                <c:pt idx="5">
                  <c:v>6.7299434229137205</c:v>
                </c:pt>
                <c:pt idx="6">
                  <c:v>7.2542673267326734</c:v>
                </c:pt>
                <c:pt idx="7">
                  <c:v>7.7785912305516263</c:v>
                </c:pt>
                <c:pt idx="8">
                  <c:v>8.3029151343705792</c:v>
                </c:pt>
                <c:pt idx="9">
                  <c:v>8.8272390381895338</c:v>
                </c:pt>
                <c:pt idx="10">
                  <c:v>9.3515629420084885</c:v>
                </c:pt>
                <c:pt idx="11">
                  <c:v>9.8758868458274414</c:v>
                </c:pt>
                <c:pt idx="12">
                  <c:v>10.400210749646394</c:v>
                </c:pt>
                <c:pt idx="13">
                  <c:v>10.924534653465347</c:v>
                </c:pt>
                <c:pt idx="14">
                  <c:v>11.4488585572843</c:v>
                </c:pt>
                <c:pt idx="15">
                  <c:v>11.973182461103256</c:v>
                </c:pt>
                <c:pt idx="16">
                  <c:v>12.497506364922209</c:v>
                </c:pt>
                <c:pt idx="17">
                  <c:v>13.021830268741162</c:v>
                </c:pt>
                <c:pt idx="18">
                  <c:v>13.546154172560115</c:v>
                </c:pt>
                <c:pt idx="19">
                  <c:v>14.070478076379068</c:v>
                </c:pt>
                <c:pt idx="20">
                  <c:v>14.594801980198021</c:v>
                </c:pt>
                <c:pt idx="21">
                  <c:v>15.119125884016976</c:v>
                </c:pt>
                <c:pt idx="22">
                  <c:v>15.643449787835928</c:v>
                </c:pt>
                <c:pt idx="23">
                  <c:v>16.167773691654883</c:v>
                </c:pt>
                <c:pt idx="24">
                  <c:v>16.692097595473836</c:v>
                </c:pt>
                <c:pt idx="25">
                  <c:v>17.216421499292789</c:v>
                </c:pt>
                <c:pt idx="26">
                  <c:v>17.740745403111742</c:v>
                </c:pt>
                <c:pt idx="27">
                  <c:v>18.265069306930695</c:v>
                </c:pt>
                <c:pt idx="28">
                  <c:v>18.789393210749648</c:v>
                </c:pt>
                <c:pt idx="29">
                  <c:v>19.313717114568604</c:v>
                </c:pt>
                <c:pt idx="30">
                  <c:v>19.694956267155913</c:v>
                </c:pt>
                <c:pt idx="31">
                  <c:v>19.050964393973238</c:v>
                </c:pt>
                <c:pt idx="32">
                  <c:v>18.432614444431533</c:v>
                </c:pt>
                <c:pt idx="33">
                  <c:v>17.836810583811619</c:v>
                </c:pt>
                <c:pt idx="34">
                  <c:v>17.260870944497327</c:v>
                </c:pt>
                <c:pt idx="35">
                  <c:v>16.702465299989811</c:v>
                </c:pt>
                <c:pt idx="36">
                  <c:v>16.159563218154929</c:v>
                </c:pt>
                <c:pt idx="37">
                  <c:v>15.630390748675772</c:v>
                </c:pt>
                <c:pt idx="38">
                  <c:v>15.11339409389179</c:v>
                </c:pt>
                <c:pt idx="39">
                  <c:v>14.60720901999575</c:v>
                </c:pt>
                <c:pt idx="40">
                  <c:v>14.110635007256072</c:v>
                </c:pt>
                <c:pt idx="41">
                  <c:v>13.622613328767628</c:v>
                </c:pt>
                <c:pt idx="42">
                  <c:v>13.142208398699752</c:v>
                </c:pt>
                <c:pt idx="43">
                  <c:v>12.668591851827621</c:v>
                </c:pt>
                <c:pt idx="44">
                  <c:v>12.201028912964514</c:v>
                </c:pt>
                <c:pt idx="45">
                  <c:v>11.738866692873852</c:v>
                </c:pt>
                <c:pt idx="46">
                  <c:v>11.281524110283518</c:v>
                </c:pt>
                <c:pt idx="47">
                  <c:v>10.828483190819076</c:v>
                </c:pt>
                <c:pt idx="48">
                  <c:v>10.37928153541174</c:v>
                </c:pt>
                <c:pt idx="49">
                  <c:v>9.9335057848989781</c:v>
                </c:pt>
                <c:pt idx="50">
                  <c:v>9.4907859356000248</c:v>
                </c:pt>
                <c:pt idx="51">
                  <c:v>9.0507903837860706</c:v>
                </c:pt>
                <c:pt idx="52">
                  <c:v>8.6132215961058556</c:v>
                </c:pt>
                <c:pt idx="53">
                  <c:v>8.1778123189150769</c:v>
                </c:pt>
                <c:pt idx="54">
                  <c:v>7.7443222526869713</c:v>
                </c:pt>
                <c:pt idx="55">
                  <c:v>7.3125351287307918</c:v>
                </c:pt>
                <c:pt idx="56">
                  <c:v>6.882256134701219</c:v>
                </c:pt>
                <c:pt idx="57">
                  <c:v>6.4533096431580592</c:v>
                </c:pt>
                <c:pt idx="58">
                  <c:v>6.0255372039868877</c:v>
                </c:pt>
                <c:pt idx="59">
                  <c:v>5.5987957670251154</c:v>
                </c:pt>
                <c:pt idx="60">
                  <c:v>5.172956105924662</c:v>
                </c:pt>
                <c:pt idx="61">
                  <c:v>4.747901418261514</c:v>
                </c:pt>
                <c:pt idx="62">
                  <c:v>4.3235260802889535</c:v>
                </c:pt>
                <c:pt idx="63">
                  <c:v>3.8997345376203754</c:v>
                </c:pt>
                <c:pt idx="64">
                  <c:v>3.4764403155977277</c:v>
                </c:pt>
                <c:pt idx="65">
                  <c:v>3.0535651352185704</c:v>
                </c:pt>
                <c:pt idx="66">
                  <c:v>2.6310381223124497</c:v>
                </c:pt>
                <c:pt idx="67">
                  <c:v>2.208795099221744</c:v>
                </c:pt>
                <c:pt idx="68">
                  <c:v>1.7867779495909912</c:v>
                </c:pt>
                <c:pt idx="69">
                  <c:v>1.3649340480342043</c:v>
                </c:pt>
                <c:pt idx="70">
                  <c:v>0.94321574745849213</c:v>
                </c:pt>
                <c:pt idx="71">
                  <c:v>0.52157991769722922</c:v>
                </c:pt>
                <c:pt idx="72">
                  <c:v>9.9987529866114019E-2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UI!$AN$2</c:f>
              <c:strCache>
                <c:ptCount val="1"/>
                <c:pt idx="0">
                  <c:v>LDO-42STH60-2004MAC (Railcore)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4.1065465346534653</c:v>
                </c:pt>
                <c:pt idx="1">
                  <c:v>4.629093069306931</c:v>
                </c:pt>
                <c:pt idx="2">
                  <c:v>5.1516396039603967</c:v>
                </c:pt>
                <c:pt idx="3">
                  <c:v>5.6741861386138615</c:v>
                </c:pt>
                <c:pt idx="4">
                  <c:v>6.1967326732673271</c:v>
                </c:pt>
                <c:pt idx="5">
                  <c:v>6.7192792079207919</c:v>
                </c:pt>
                <c:pt idx="6">
                  <c:v>7.2418257425742585</c:v>
                </c:pt>
                <c:pt idx="7">
                  <c:v>7.7643722772277233</c:v>
                </c:pt>
                <c:pt idx="8">
                  <c:v>8.2869188118811881</c:v>
                </c:pt>
                <c:pt idx="9">
                  <c:v>8.8094653465346546</c:v>
                </c:pt>
                <c:pt idx="10">
                  <c:v>9.3320118811881212</c:v>
                </c:pt>
                <c:pt idx="11">
                  <c:v>9.854558415841586</c:v>
                </c:pt>
                <c:pt idx="12">
                  <c:v>10.377104950495051</c:v>
                </c:pt>
                <c:pt idx="13">
                  <c:v>10.899651485148517</c:v>
                </c:pt>
                <c:pt idx="14">
                  <c:v>11.422198019801982</c:v>
                </c:pt>
                <c:pt idx="15">
                  <c:v>11.944744554455447</c:v>
                </c:pt>
                <c:pt idx="16">
                  <c:v>12.467291089108912</c:v>
                </c:pt>
                <c:pt idx="17">
                  <c:v>12.989837623762378</c:v>
                </c:pt>
                <c:pt idx="18">
                  <c:v>13.512384158415845</c:v>
                </c:pt>
                <c:pt idx="19">
                  <c:v>14.034930693069308</c:v>
                </c:pt>
                <c:pt idx="20">
                  <c:v>13.631894869235168</c:v>
                </c:pt>
                <c:pt idx="21">
                  <c:v>13.126256550160496</c:v>
                </c:pt>
                <c:pt idx="22">
                  <c:v>12.66159970986161</c:v>
                </c:pt>
                <c:pt idx="23">
                  <c:v>12.231280178935629</c:v>
                </c:pt>
                <c:pt idx="24">
                  <c:v>11.829891552633223</c:v>
                </c:pt>
                <c:pt idx="25">
                  <c:v>11.453003644671893</c:v>
                </c:pt>
                <c:pt idx="26">
                  <c:v>11.096962575043637</c:v>
                </c:pt>
                <c:pt idx="27">
                  <c:v>10.758736532987129</c:v>
                </c:pt>
                <c:pt idx="28">
                  <c:v>10.435795741316868</c:v>
                </c:pt>
                <c:pt idx="29">
                  <c:v>10.126018278913843</c:v>
                </c:pt>
                <c:pt idx="30">
                  <c:v>9.8276156302638604</c:v>
                </c:pt>
                <c:pt idx="31">
                  <c:v>9.5390734118938969</c:v>
                </c:pt>
                <c:pt idx="32">
                  <c:v>9.2591038675652158</c:v>
                </c:pt>
                <c:pt idx="33">
                  <c:v>8.9866075572845325</c:v>
                </c:pt>
                <c:pt idx="34">
                  <c:v>8.7206422788164932</c:v>
                </c:pt>
                <c:pt idx="35">
                  <c:v>8.4603977162900783</c:v>
                </c:pt>
                <c:pt idx="36">
                  <c:v>8.205174652048564</c:v>
                </c:pt>
                <c:pt idx="37">
                  <c:v>7.9543678357931551</c:v>
                </c:pt>
                <c:pt idx="38">
                  <c:v>7.7074518012532982</c:v>
                </c:pt>
                <c:pt idx="39">
                  <c:v>7.4639690709024507</c:v>
                </c:pt>
                <c:pt idx="40">
                  <c:v>7.2235203051335795</c:v>
                </c:pt>
                <c:pt idx="41">
                  <c:v>6.9857560422499736</c:v>
                </c:pt>
                <c:pt idx="42">
                  <c:v>6.750369745847566</c:v>
                </c:pt>
                <c:pt idx="43">
                  <c:v>6.5170919313031455</c:v>
                </c:pt>
                <c:pt idx="44">
                  <c:v>6.2856851866151811</c:v>
                </c:pt>
                <c:pt idx="45">
                  <c:v>6.0559399373924743</c:v>
                </c:pt>
                <c:pt idx="46">
                  <c:v>5.8276708333413794</c:v>
                </c:pt>
                <c:pt idx="47">
                  <c:v>5.6007136556847827</c:v>
                </c:pt>
                <c:pt idx="48">
                  <c:v>5.3749226627235736</c:v>
                </c:pt>
                <c:pt idx="49">
                  <c:v>5.1501683051251641</c:v>
                </c:pt>
                <c:pt idx="50">
                  <c:v>4.9263352541947123</c:v>
                </c:pt>
                <c:pt idx="51">
                  <c:v>4.7033206958987641</c:v>
                </c:pt>
                <c:pt idx="52">
                  <c:v>4.481032851197063</c:v>
                </c:pt>
                <c:pt idx="53">
                  <c:v>4.2593896896335366</c:v>
                </c:pt>
                <c:pt idx="54">
                  <c:v>4.0383178084092846</c:v>
                </c:pt>
                <c:pt idx="55">
                  <c:v>3.8177514535208203</c:v>
                </c:pt>
                <c:pt idx="56">
                  <c:v>3.5976316631656613</c:v>
                </c:pt>
                <c:pt idx="57">
                  <c:v>3.3779055166299718</c:v>
                </c:pt>
                <c:pt idx="58">
                  <c:v>3.1585254743888656</c:v>
                </c:pt>
                <c:pt idx="59">
                  <c:v>2.9394487972571843</c:v>
                </c:pt>
                <c:pt idx="60">
                  <c:v>2.7206370341984885</c:v>
                </c:pt>
                <c:pt idx="61">
                  <c:v>2.5020555698909246</c:v>
                </c:pt>
                <c:pt idx="62">
                  <c:v>2.2836732244075848</c:v>
                </c:pt>
                <c:pt idx="63">
                  <c:v>2.065461898435125</c:v>
                </c:pt>
                <c:pt idx="64">
                  <c:v>1.8473962583593582</c:v>
                </c:pt>
                <c:pt idx="65">
                  <c:v>1.6294534563165253</c:v>
                </c:pt>
                <c:pt idx="66">
                  <c:v>1.4116128809656756</c:v>
                </c:pt>
                <c:pt idx="67">
                  <c:v>1.1938559352990956</c:v>
                </c:pt>
                <c:pt idx="68">
                  <c:v>0.97616583828860259</c:v>
                </c:pt>
                <c:pt idx="69">
                  <c:v>0.75852744757851742</c:v>
                </c:pt>
                <c:pt idx="70">
                  <c:v>0.54092710079144279</c:v>
                </c:pt>
                <c:pt idx="71">
                  <c:v>0.32335247331915934</c:v>
                </c:pt>
                <c:pt idx="72">
                  <c:v>0.10579245073560756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UI!$AO$2</c:f>
              <c:strCache>
                <c:ptCount val="1"/>
                <c:pt idx="0">
                  <c:v>LDO-42STH48-2004AC (VRN)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4.6098374257425752</c:v>
                </c:pt>
                <c:pt idx="1">
                  <c:v>5.1236748514851502</c:v>
                </c:pt>
                <c:pt idx="2">
                  <c:v>5.6375122772277244</c:v>
                </c:pt>
                <c:pt idx="3">
                  <c:v>6.1513497029702986</c:v>
                </c:pt>
                <c:pt idx="4">
                  <c:v>6.6651871287128728</c:v>
                </c:pt>
                <c:pt idx="5">
                  <c:v>7.179024554455447</c:v>
                </c:pt>
                <c:pt idx="6">
                  <c:v>7.6928619801980211</c:v>
                </c:pt>
                <c:pt idx="7">
                  <c:v>8.2066994059405953</c:v>
                </c:pt>
                <c:pt idx="8">
                  <c:v>8.7205368316831713</c:v>
                </c:pt>
                <c:pt idx="9">
                  <c:v>9.2343742574257455</c:v>
                </c:pt>
                <c:pt idx="10">
                  <c:v>9.7482116831683197</c:v>
                </c:pt>
                <c:pt idx="11">
                  <c:v>10.262049108910894</c:v>
                </c:pt>
                <c:pt idx="12">
                  <c:v>10.775886534653468</c:v>
                </c:pt>
                <c:pt idx="13">
                  <c:v>11.289723960396042</c:v>
                </c:pt>
                <c:pt idx="14">
                  <c:v>11.803561386138618</c:v>
                </c:pt>
                <c:pt idx="15">
                  <c:v>12.317398811881191</c:v>
                </c:pt>
                <c:pt idx="16">
                  <c:v>12.831236237623768</c:v>
                </c:pt>
                <c:pt idx="17">
                  <c:v>13.345073663366339</c:v>
                </c:pt>
                <c:pt idx="18">
                  <c:v>13.858911089108915</c:v>
                </c:pt>
                <c:pt idx="19">
                  <c:v>14.372748514851489</c:v>
                </c:pt>
                <c:pt idx="20">
                  <c:v>14.886585940594063</c:v>
                </c:pt>
                <c:pt idx="21">
                  <c:v>15.400423366336639</c:v>
                </c:pt>
                <c:pt idx="22">
                  <c:v>15.914260792079212</c:v>
                </c:pt>
                <c:pt idx="23">
                  <c:v>16.428098217821788</c:v>
                </c:pt>
                <c:pt idx="24">
                  <c:v>16.94193564356436</c:v>
                </c:pt>
                <c:pt idx="25">
                  <c:v>17.455773069306936</c:v>
                </c:pt>
                <c:pt idx="26">
                  <c:v>17.969610495049508</c:v>
                </c:pt>
                <c:pt idx="27">
                  <c:v>18.483447920792084</c:v>
                </c:pt>
                <c:pt idx="28">
                  <c:v>18.99728534653466</c:v>
                </c:pt>
                <c:pt idx="29">
                  <c:v>19.511122772277233</c:v>
                </c:pt>
                <c:pt idx="30">
                  <c:v>19.683805096869005</c:v>
                </c:pt>
                <c:pt idx="31">
                  <c:v>19.037975954718942</c:v>
                </c:pt>
                <c:pt idx="32">
                  <c:v>18.419629292326039</c:v>
                </c:pt>
                <c:pt idx="33">
                  <c:v>17.825522591157927</c:v>
                </c:pt>
                <c:pt idx="34">
                  <c:v>17.252837788413256</c:v>
                </c:pt>
                <c:pt idx="35">
                  <c:v>16.699118659845418</c:v>
                </c:pt>
                <c:pt idx="36">
                  <c:v>16.162218525357236</c:v>
                </c:pt>
                <c:pt idx="37">
                  <c:v>15.640256397742567</c:v>
                </c:pt>
                <c:pt idx="38">
                  <c:v>15.131580068854193</c:v>
                </c:pt>
                <c:pt idx="39">
                  <c:v>14.634734920893933</c:v>
                </c:pt>
                <c:pt idx="40">
                  <c:v>14.148437482047232</c:v>
                </c:pt>
                <c:pt idx="41">
                  <c:v>13.671552929337759</c:v>
                </c:pt>
                <c:pt idx="42">
                  <c:v>13.203075887988367</c:v>
                </c:pt>
                <c:pt idx="43">
                  <c:v>12.742113993857414</c:v>
                </c:pt>
                <c:pt idx="44">
                  <c:v>12.287873779900456</c:v>
                </c:pt>
                <c:pt idx="45">
                  <c:v>11.839648523893832</c:v>
                </c:pt>
                <c:pt idx="46">
                  <c:v>11.396807756577735</c:v>
                </c:pt>
                <c:pt idx="47">
                  <c:v>10.958788179841225</c:v>
                </c:pt>
                <c:pt idx="48">
                  <c:v>10.525085785859721</c:v>
                </c:pt>
                <c:pt idx="49">
                  <c:v>10.095249002001729</c:v>
                </c:pt>
                <c:pt idx="50">
                  <c:v>9.6688727142663939</c:v>
                </c:pt>
                <c:pt idx="51">
                  <c:v>9.2455930451241279</c:v>
                </c:pt>
                <c:pt idx="52">
                  <c:v>8.8250827808095735</c:v>
                </c:pt>
                <c:pt idx="53">
                  <c:v>8.4070473590799626</c:v>
                </c:pt>
                <c:pt idx="54">
                  <c:v>7.9912213417819444</c:v>
                </c:pt>
                <c:pt idx="55">
                  <c:v>7.5773653077346035</c:v>
                </c:pt>
                <c:pt idx="56">
                  <c:v>7.1652631108134557</c:v>
                </c:pt>
                <c:pt idx="57">
                  <c:v>6.7547194560189503</c:v>
                </c:pt>
                <c:pt idx="58">
                  <c:v>6.3455577529835656</c:v>
                </c:pt>
                <c:pt idx="59">
                  <c:v>5.9376182120200731</c:v>
                </c:pt>
                <c:pt idx="60">
                  <c:v>5.5307561526086548</c:v>
                </c:pt>
                <c:pt idx="61">
                  <c:v>5.124840498300772</c:v>
                </c:pt>
                <c:pt idx="62">
                  <c:v>4.7197524354984042</c:v>
                </c:pt>
                <c:pt idx="63">
                  <c:v>4.3153842165427569</c:v>
                </c:pt>
                <c:pt idx="64">
                  <c:v>3.9116380900963112</c:v>
                </c:pt>
                <c:pt idx="65">
                  <c:v>3.5084253439914956</c:v>
                </c:pt>
                <c:pt idx="66">
                  <c:v>3.1056654476030472</c:v>
                </c:pt>
                <c:pt idx="67">
                  <c:v>2.7032852824257576</c:v>
                </c:pt>
                <c:pt idx="68">
                  <c:v>2.3012184509424873</c:v>
                </c:pt>
                <c:pt idx="69">
                  <c:v>1.8994046550822363</c:v>
                </c:pt>
                <c:pt idx="70">
                  <c:v>1.4977891366215197</c:v>
                </c:pt>
                <c:pt idx="71">
                  <c:v>1.0963221727973802</c:v>
                </c:pt>
                <c:pt idx="72">
                  <c:v>0.69495862119714369</c:v>
                </c:pt>
                <c:pt idx="73">
                  <c:v>0.29365750868419893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UI!$AP$2</c:f>
              <c:strCache>
                <c:ptCount val="1"/>
                <c:pt idx="0">
                  <c:v>LDO-42STH47-1684AC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3.4159098455445545</c:v>
                </c:pt>
                <c:pt idx="1">
                  <c:v>3.8513652910891087</c:v>
                </c:pt>
                <c:pt idx="2">
                  <c:v>4.2868207366336639</c:v>
                </c:pt>
                <c:pt idx="3">
                  <c:v>4.7222761821782182</c:v>
                </c:pt>
                <c:pt idx="4">
                  <c:v>5.1577316277227725</c:v>
                </c:pt>
                <c:pt idx="5">
                  <c:v>5.5931870732673277</c:v>
                </c:pt>
                <c:pt idx="6">
                  <c:v>6.0286425188118828</c:v>
                </c:pt>
                <c:pt idx="7">
                  <c:v>6.4640979643564362</c:v>
                </c:pt>
                <c:pt idx="8">
                  <c:v>6.8995534099009914</c:v>
                </c:pt>
                <c:pt idx="9">
                  <c:v>7.3350088554455466</c:v>
                </c:pt>
                <c:pt idx="10">
                  <c:v>7.7704643009901</c:v>
                </c:pt>
                <c:pt idx="11">
                  <c:v>8.2059197465346543</c:v>
                </c:pt>
                <c:pt idx="12">
                  <c:v>8.6413751920792095</c:v>
                </c:pt>
                <c:pt idx="13">
                  <c:v>9.0768306376237646</c:v>
                </c:pt>
                <c:pt idx="14">
                  <c:v>9.512286083168318</c:v>
                </c:pt>
                <c:pt idx="15">
                  <c:v>9.9477415287128732</c:v>
                </c:pt>
                <c:pt idx="16">
                  <c:v>10.383196974257428</c:v>
                </c:pt>
                <c:pt idx="17">
                  <c:v>10.818652419801984</c:v>
                </c:pt>
                <c:pt idx="18">
                  <c:v>11.254107865346535</c:v>
                </c:pt>
                <c:pt idx="19">
                  <c:v>11.689563310891092</c:v>
                </c:pt>
                <c:pt idx="20">
                  <c:v>12.125018756435646</c:v>
                </c:pt>
                <c:pt idx="21">
                  <c:v>12.560474201980199</c:v>
                </c:pt>
                <c:pt idx="22">
                  <c:v>12.995929647524756</c:v>
                </c:pt>
                <c:pt idx="23">
                  <c:v>13.431385093069309</c:v>
                </c:pt>
                <c:pt idx="24">
                  <c:v>13.866840538613863</c:v>
                </c:pt>
                <c:pt idx="25">
                  <c:v>14.30229598415842</c:v>
                </c:pt>
                <c:pt idx="26">
                  <c:v>14.737751429702975</c:v>
                </c:pt>
                <c:pt idx="27">
                  <c:v>15.173206875247526</c:v>
                </c:pt>
                <c:pt idx="28">
                  <c:v>15.608662320792083</c:v>
                </c:pt>
                <c:pt idx="29">
                  <c:v>16.04411776633664</c:v>
                </c:pt>
                <c:pt idx="30">
                  <c:v>16.479573211881188</c:v>
                </c:pt>
                <c:pt idx="31">
                  <c:v>16.915028657425747</c:v>
                </c:pt>
                <c:pt idx="32">
                  <c:v>17.350484102970302</c:v>
                </c:pt>
                <c:pt idx="33">
                  <c:v>17.785939548514854</c:v>
                </c:pt>
                <c:pt idx="34">
                  <c:v>18.221394994059409</c:v>
                </c:pt>
                <c:pt idx="35">
                  <c:v>17.784195899147171</c:v>
                </c:pt>
                <c:pt idx="36">
                  <c:v>17.199932184481572</c:v>
                </c:pt>
                <c:pt idx="37">
                  <c:v>16.632259362289837</c:v>
                </c:pt>
                <c:pt idx="38">
                  <c:v>16.079356417805876</c:v>
                </c:pt>
                <c:pt idx="39">
                  <c:v>15.539617557004064</c:v>
                </c:pt>
                <c:pt idx="40">
                  <c:v>15.011623772675646</c:v>
                </c:pt>
                <c:pt idx="41">
                  <c:v>14.494118598766352</c:v>
                </c:pt>
                <c:pt idx="42">
                  <c:v>13.98598737165953</c:v>
                </c:pt>
                <c:pt idx="43">
                  <c:v>13.486239438271628</c:v>
                </c:pt>
                <c:pt idx="44">
                  <c:v>12.993992848654438</c:v>
                </c:pt>
                <c:pt idx="45">
                  <c:v>12.508461150110318</c:v>
                </c:pt>
                <c:pt idx="46">
                  <c:v>12.028941964390684</c:v>
                </c:pt>
                <c:pt idx="47">
                  <c:v>11.55480708231344</c:v>
                </c:pt>
                <c:pt idx="48">
                  <c:v>11.085493853421461</c:v>
                </c:pt>
                <c:pt idx="49">
                  <c:v>10.620497683942993</c:v>
                </c:pt>
                <c:pt idx="50">
                  <c:v>10.159365485760619</c:v>
                </c:pt>
                <c:pt idx="51">
                  <c:v>9.7016899435056967</c:v>
                </c:pt>
                <c:pt idx="52">
                  <c:v>9.2471044871971042</c:v>
                </c:pt>
                <c:pt idx="53">
                  <c:v>8.7952788747810917</c:v>
                </c:pt>
                <c:pt idx="54">
                  <c:v>8.3459153031028777</c:v>
                </c:pt>
                <c:pt idx="55">
                  <c:v>7.8987449777361567</c:v>
                </c:pt>
                <c:pt idx="56">
                  <c:v>7.4535250821085102</c:v>
                </c:pt>
                <c:pt idx="57">
                  <c:v>7.0100360948093439</c:v>
                </c:pt>
                <c:pt idx="58">
                  <c:v>6.5680794111162193</c:v>
                </c:pt>
                <c:pt idx="59">
                  <c:v>6.1274752308397815</c:v>
                </c:pt>
                <c:pt idx="60">
                  <c:v>5.6880606797444981</c:v>
                </c:pt>
                <c:pt idx="61">
                  <c:v>5.2496881361986008</c:v>
                </c:pt>
                <c:pt idx="62">
                  <c:v>4.8122237384624329</c:v>
                </c:pt>
                <c:pt idx="63">
                  <c:v>4.3755460512405966</c:v>
                </c:pt>
                <c:pt idx="64">
                  <c:v>3.9395448728834048</c:v>
                </c:pt>
                <c:pt idx="65">
                  <c:v>3.5041201669967768</c:v>
                </c:pt>
                <c:pt idx="66">
                  <c:v>3.0691811042650388</c:v>
                </c:pt>
                <c:pt idx="67">
                  <c:v>2.6346452020573743</c:v>
                </c:pt>
                <c:pt idx="68">
                  <c:v>2.2004375509166048</c:v>
                </c:pt>
                <c:pt idx="69">
                  <c:v>1.7664901183532573</c:v>
                </c:pt>
                <c:pt idx="70">
                  <c:v>1.3327411215179756</c:v>
                </c:pt>
                <c:pt idx="71">
                  <c:v>0.89913446132568997</c:v>
                </c:pt>
                <c:pt idx="72">
                  <c:v>0.46561921147654728</c:v>
                </c:pt>
                <c:pt idx="73">
                  <c:v>3.214915657957617E-2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UI!$AQ$2</c:f>
              <c:strCache>
                <c:ptCount val="1"/>
                <c:pt idx="0">
                  <c:v>OMC-17HM19-2004S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4.1207949080622344</c:v>
                </c:pt>
                <c:pt idx="1">
                  <c:v>4.5295898161244699</c:v>
                </c:pt>
                <c:pt idx="2">
                  <c:v>4.9383847241867045</c:v>
                </c:pt>
                <c:pt idx="3">
                  <c:v>5.3471796322489391</c:v>
                </c:pt>
                <c:pt idx="4">
                  <c:v>5.7559745403111746</c:v>
                </c:pt>
                <c:pt idx="5">
                  <c:v>6.1647694483734092</c:v>
                </c:pt>
                <c:pt idx="6">
                  <c:v>6.5735643564356439</c:v>
                </c:pt>
                <c:pt idx="7">
                  <c:v>6.9823592644978794</c:v>
                </c:pt>
                <c:pt idx="8">
                  <c:v>7.3911541725601131</c:v>
                </c:pt>
                <c:pt idx="9">
                  <c:v>7.7999490806223495</c:v>
                </c:pt>
                <c:pt idx="10">
                  <c:v>8.2087439886845832</c:v>
                </c:pt>
                <c:pt idx="11">
                  <c:v>8.6175388967468187</c:v>
                </c:pt>
                <c:pt idx="12">
                  <c:v>9.0263338048090542</c:v>
                </c:pt>
                <c:pt idx="13">
                  <c:v>9.435128712871288</c:v>
                </c:pt>
                <c:pt idx="14">
                  <c:v>9.8439236209335235</c:v>
                </c:pt>
                <c:pt idx="15">
                  <c:v>10.252718528995757</c:v>
                </c:pt>
                <c:pt idx="16">
                  <c:v>10.661513437057991</c:v>
                </c:pt>
                <c:pt idx="17">
                  <c:v>11.070308345120228</c:v>
                </c:pt>
                <c:pt idx="18">
                  <c:v>11.479103253182462</c:v>
                </c:pt>
                <c:pt idx="19">
                  <c:v>11.887898161244699</c:v>
                </c:pt>
                <c:pt idx="20">
                  <c:v>12.296693069306933</c:v>
                </c:pt>
                <c:pt idx="21">
                  <c:v>12.249865398045547</c:v>
                </c:pt>
                <c:pt idx="22">
                  <c:v>11.82115878473757</c:v>
                </c:pt>
                <c:pt idx="23">
                  <c:v>11.430620378329779</c:v>
                </c:pt>
                <c:pt idx="24">
                  <c:v>11.072447548424771</c:v>
                </c:pt>
                <c:pt idx="25">
                  <c:v>10.74186496605115</c:v>
                </c:pt>
                <c:pt idx="26">
                  <c:v>10.434917012727146</c:v>
                </c:pt>
                <c:pt idx="27">
                  <c:v>10.148307147444676</c:v>
                </c:pt>
                <c:pt idx="28">
                  <c:v>9.8792725299126651</c:v>
                </c:pt>
                <c:pt idx="29">
                  <c:v>9.6254853696562144</c:v>
                </c:pt>
                <c:pt idx="30">
                  <c:v>9.3849747168303121</c:v>
                </c:pt>
                <c:pt idx="31">
                  <c:v>9.1560640197952363</c:v>
                </c:pt>
                <c:pt idx="32">
                  <c:v>8.9373209395703288</c:v>
                </c:pt>
                <c:pt idx="33">
                  <c:v>8.727516763216487</c:v>
                </c:pt>
                <c:pt idx="34">
                  <c:v>8.5255933869896463</c:v>
                </c:pt>
                <c:pt idx="35">
                  <c:v>8.3306363082901562</c:v>
                </c:pt>
                <c:pt idx="36">
                  <c:v>8.1418524169235145</c:v>
                </c:pt>
                <c:pt idx="37">
                  <c:v>7.9585516421381683</c:v>
                </c:pt>
                <c:pt idx="38">
                  <c:v>7.7801317146244759</c:v>
                </c:pt>
                <c:pt idx="39">
                  <c:v>7.6060654582633411</c:v>
                </c:pt>
                <c:pt idx="40">
                  <c:v>7.4358901466479219</c:v>
                </c:pt>
                <c:pt idx="41">
                  <c:v>7.2691985528940259</c:v>
                </c:pt>
                <c:pt idx="42">
                  <c:v>7.1056313943892011</c:v>
                </c:pt>
                <c:pt idx="43">
                  <c:v>6.944870931667424</c:v>
                </c:pt>
                <c:pt idx="44">
                  <c:v>6.7866355261089772</c:v>
                </c:pt>
                <c:pt idx="45">
                  <c:v>6.6306749973539745</c:v>
                </c:pt>
                <c:pt idx="46">
                  <c:v>6.476766650236077</c:v>
                </c:pt>
                <c:pt idx="47">
                  <c:v>6.3247118642610083</c:v>
                </c:pt>
                <c:pt idx="48">
                  <c:v>6.1743331573810014</c:v>
                </c:pt>
                <c:pt idx="49">
                  <c:v>6.0254716509857431</c:v>
                </c:pt>
                <c:pt idx="50">
                  <c:v>5.8779848753702986</c:v>
                </c:pt>
                <c:pt idx="51">
                  <c:v>5.7317448650184497</c:v>
                </c:pt>
                <c:pt idx="52">
                  <c:v>5.5866365013026469</c:v>
                </c:pt>
                <c:pt idx="53">
                  <c:v>5.4425560670011794</c:v>
                </c:pt>
                <c:pt idx="54">
                  <c:v>5.299409982648462</c:v>
                </c:pt>
                <c:pt idx="55">
                  <c:v>5.1571136993875628</c:v>
                </c:pt>
                <c:pt idx="56">
                  <c:v>5.0155907268629685</c:v>
                </c:pt>
                <c:pt idx="57">
                  <c:v>4.8747717779183866</c:v>
                </c:pt>
                <c:pt idx="58">
                  <c:v>4.7345940145642373</c:v>
                </c:pt>
                <c:pt idx="59">
                  <c:v>4.5950003819447689</c:v>
                </c:pt>
                <c:pt idx="60">
                  <c:v>4.4559390189413168</c:v>
                </c:pt>
                <c:pt idx="61">
                  <c:v>4.3173627356568947</c:v>
                </c:pt>
                <c:pt idx="62">
                  <c:v>4.1792285493885739</c:v>
                </c:pt>
                <c:pt idx="63">
                  <c:v>4.0414972718489217</c:v>
                </c:pt>
                <c:pt idx="64">
                  <c:v>3.904133141379786</c:v>
                </c:pt>
                <c:pt idx="65">
                  <c:v>3.7671034947390454</c:v>
                </c:pt>
                <c:pt idx="66">
                  <c:v>3.6303784737563447</c:v>
                </c:pt>
                <c:pt idx="67">
                  <c:v>3.4939307627666567</c:v>
                </c:pt>
                <c:pt idx="68">
                  <c:v>3.3577353532565204</c:v>
                </c:pt>
                <c:pt idx="69">
                  <c:v>3.2217693326102914</c:v>
                </c:pt>
                <c:pt idx="70">
                  <c:v>3.0860116942337905</c:v>
                </c:pt>
                <c:pt idx="71">
                  <c:v>2.9504431666696762</c:v>
                </c:pt>
                <c:pt idx="72">
                  <c:v>2.8150460596104714</c:v>
                </c:pt>
                <c:pt idx="73">
                  <c:v>2.6798041249680091</c:v>
                </c:pt>
                <c:pt idx="74">
                  <c:v>2.5447024313777584</c:v>
                </c:pt>
                <c:pt idx="75">
                  <c:v>2.4097272507076637</c:v>
                </c:pt>
                <c:pt idx="76">
                  <c:v>2.2748659553078086</c:v>
                </c:pt>
                <c:pt idx="77">
                  <c:v>2.1401069248828035</c:v>
                </c:pt>
                <c:pt idx="78">
                  <c:v>2.0054394619961289</c:v>
                </c:pt>
                <c:pt idx="79">
                  <c:v>1.8708537153272811</c:v>
                </c:pt>
                <c:pt idx="80">
                  <c:v>1.7363406099004532</c:v>
                </c:pt>
                <c:pt idx="81">
                  <c:v>1.6018917835896052</c:v>
                </c:pt>
                <c:pt idx="82">
                  <c:v>1.4674995292805384</c:v>
                </c:pt>
                <c:pt idx="83">
                  <c:v>1.3331567421373731</c:v>
                </c:pt>
                <c:pt idx="84">
                  <c:v>1.1988568714798216</c:v>
                </c:pt>
                <c:pt idx="85">
                  <c:v>1.0645938768298109</c:v>
                </c:pt>
                <c:pt idx="86">
                  <c:v>0.93036218773210244</c:v>
                </c:pt>
                <c:pt idx="87">
                  <c:v>0.79615666699453991</c:v>
                </c:pt>
                <c:pt idx="88">
                  <c:v>0.66197257702985857</c:v>
                </c:pt>
                <c:pt idx="89">
                  <c:v>0.52780554901323307</c:v>
                </c:pt>
                <c:pt idx="90">
                  <c:v>0.39365155459851697</c:v>
                </c:pt>
                <c:pt idx="91">
                  <c:v>0.25950687996167143</c:v>
                </c:pt>
                <c:pt idx="92">
                  <c:v>0.12536810196275605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UI!$AR$2</c:f>
              <c:strCache>
                <c:ptCount val="1"/>
                <c:pt idx="0">
                  <c:v>OMC-17HS16-2004S1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3.2159080622347953</c:v>
                </c:pt>
                <c:pt idx="1">
                  <c:v>3.6158161244695908</c:v>
                </c:pt>
                <c:pt idx="2">
                  <c:v>4.0157241867043849</c:v>
                </c:pt>
                <c:pt idx="3">
                  <c:v>4.4156322489391799</c:v>
                </c:pt>
                <c:pt idx="4">
                  <c:v>4.8155403111739759</c:v>
                </c:pt>
                <c:pt idx="5">
                  <c:v>5.2154483734087709</c:v>
                </c:pt>
                <c:pt idx="6">
                  <c:v>5.6153564356435659</c:v>
                </c:pt>
                <c:pt idx="7">
                  <c:v>6.01526449787836</c:v>
                </c:pt>
                <c:pt idx="8">
                  <c:v>6.4151725601131551</c:v>
                </c:pt>
                <c:pt idx="9">
                  <c:v>6.8150806223479492</c:v>
                </c:pt>
                <c:pt idx="10">
                  <c:v>7.2149886845827442</c:v>
                </c:pt>
                <c:pt idx="11">
                  <c:v>7.6148967468175401</c:v>
                </c:pt>
                <c:pt idx="12">
                  <c:v>8.0148048090523343</c:v>
                </c:pt>
                <c:pt idx="13">
                  <c:v>8.4147128712871311</c:v>
                </c:pt>
                <c:pt idx="14">
                  <c:v>8.8146209335219261</c:v>
                </c:pt>
                <c:pt idx="15">
                  <c:v>9.2145289957567211</c:v>
                </c:pt>
                <c:pt idx="16">
                  <c:v>9.6144370579915162</c:v>
                </c:pt>
                <c:pt idx="17">
                  <c:v>10.014345120226309</c:v>
                </c:pt>
                <c:pt idx="18">
                  <c:v>10.414253182461104</c:v>
                </c:pt>
                <c:pt idx="19">
                  <c:v>10.814161244695899</c:v>
                </c:pt>
                <c:pt idx="20">
                  <c:v>11.214069306930694</c:v>
                </c:pt>
                <c:pt idx="21">
                  <c:v>11.61397736916549</c:v>
                </c:pt>
                <c:pt idx="22">
                  <c:v>12.013885431400286</c:v>
                </c:pt>
                <c:pt idx="23">
                  <c:v>12.413793493635081</c:v>
                </c:pt>
                <c:pt idx="24">
                  <c:v>12.813701555869876</c:v>
                </c:pt>
                <c:pt idx="25">
                  <c:v>13.21360961810467</c:v>
                </c:pt>
                <c:pt idx="26">
                  <c:v>13.613517680339465</c:v>
                </c:pt>
                <c:pt idx="27">
                  <c:v>14.01342574257426</c:v>
                </c:pt>
                <c:pt idx="28">
                  <c:v>14.413333804809055</c:v>
                </c:pt>
                <c:pt idx="29">
                  <c:v>14.81324186704385</c:v>
                </c:pt>
                <c:pt idx="30">
                  <c:v>15.213149929278643</c:v>
                </c:pt>
                <c:pt idx="31">
                  <c:v>15.613057991513438</c:v>
                </c:pt>
                <c:pt idx="32">
                  <c:v>16.012966053748233</c:v>
                </c:pt>
                <c:pt idx="33">
                  <c:v>16.412874115983026</c:v>
                </c:pt>
                <c:pt idx="34">
                  <c:v>16.812782178217823</c:v>
                </c:pt>
                <c:pt idx="35">
                  <c:v>17.21269024045262</c:v>
                </c:pt>
                <c:pt idx="36">
                  <c:v>17.612598302687413</c:v>
                </c:pt>
                <c:pt idx="37">
                  <c:v>18.01250636492221</c:v>
                </c:pt>
                <c:pt idx="38">
                  <c:v>18.047754607149091</c:v>
                </c:pt>
                <c:pt idx="39">
                  <c:v>17.615806263298339</c:v>
                </c:pt>
                <c:pt idx="40">
                  <c:v>17.197110511253321</c:v>
                </c:pt>
                <c:pt idx="41">
                  <c:v>16.790343755045594</c:v>
                </c:pt>
                <c:pt idx="42">
                  <c:v>16.394331048251129</c:v>
                </c:pt>
                <c:pt idx="43">
                  <c:v>16.00802715304291</c:v>
                </c:pt>
                <c:pt idx="44">
                  <c:v>15.630500308896123</c:v>
                </c:pt>
                <c:pt idx="45">
                  <c:v>15.260918281166457</c:v>
                </c:pt>
                <c:pt idx="46">
                  <c:v>14.898536334481241</c:v>
                </c:pt>
                <c:pt idx="47">
                  <c:v>14.542686836502607</c:v>
                </c:pt>
                <c:pt idx="48">
                  <c:v>14.192770247006029</c:v>
                </c:pt>
                <c:pt idx="49">
                  <c:v>13.848247287607567</c:v>
                </c:pt>
                <c:pt idx="50">
                  <c:v>13.508632120633989</c:v>
                </c:pt>
                <c:pt idx="51">
                  <c:v>13.173486392954112</c:v>
                </c:pt>
                <c:pt idx="52">
                  <c:v>12.842414023185203</c:v>
                </c:pt>
                <c:pt idx="53">
                  <c:v>12.515056629435716</c:v>
                </c:pt>
                <c:pt idx="54">
                  <c:v>12.191089510352301</c:v>
                </c:pt>
                <c:pt idx="55">
                  <c:v>11.870218105271185</c:v>
                </c:pt>
                <c:pt idx="56">
                  <c:v>11.552174870190381</c:v>
                </c:pt>
                <c:pt idx="57">
                  <c:v>11.236716515449297</c:v>
                </c:pt>
                <c:pt idx="58">
                  <c:v>10.923621558728234</c:v>
                </c:pt>
                <c:pt idx="59">
                  <c:v>10.612688153506486</c:v>
                </c:pt>
                <c:pt idx="60">
                  <c:v>10.30373215864603</c:v>
                </c:pt>
                <c:pt idx="61">
                  <c:v>9.9965854194620505</c:v>
                </c:pt>
                <c:pt idx="62">
                  <c:v>9.6910942346380171</c:v>
                </c:pt>
                <c:pt idx="63">
                  <c:v>9.3871179867533758</c:v>
                </c:pt>
                <c:pt idx="64">
                  <c:v>9.0845279171090567</c:v>
                </c:pt>
                <c:pt idx="65">
                  <c:v>8.7832060280367621</c:v>
                </c:pt>
                <c:pt idx="66">
                  <c:v>8.483044098026733</c:v>
                </c:pt>
                <c:pt idx="67">
                  <c:v>8.1839427968585525</c:v>
                </c:pt>
                <c:pt idx="68">
                  <c:v>7.8858108895159429</c:v>
                </c:pt>
                <c:pt idx="69">
                  <c:v>7.5885645190462698</c:v>
                </c:pt>
                <c:pt idx="70">
                  <c:v>7.2921265597208942</c:v>
                </c:pt>
                <c:pt idx="71">
                  <c:v>6.9964260328899543</c:v>
                </c:pt>
                <c:pt idx="72">
                  <c:v>6.7013975788270193</c:v>
                </c:pt>
                <c:pt idx="73">
                  <c:v>6.4069809786448548</c:v>
                </c:pt>
                <c:pt idx="74">
                  <c:v>6.1131207210489809</c:v>
                </c:pt>
                <c:pt idx="75">
                  <c:v>5.8197656092949162</c:v>
                </c:pt>
                <c:pt idx="76">
                  <c:v>5.5268684042395968</c:v>
                </c:pt>
                <c:pt idx="77">
                  <c:v>5.2343854998374164</c:v>
                </c:pt>
                <c:pt idx="78">
                  <c:v>4.9422766278354491</c:v>
                </c:pt>
                <c:pt idx="79">
                  <c:v>4.6505045887776815</c:v>
                </c:pt>
                <c:pt idx="80">
                  <c:v>4.3590350067412516</c:v>
                </c:pt>
                <c:pt idx="81">
                  <c:v>4.0678361055038694</c:v>
                </c:pt>
                <c:pt idx="82">
                  <c:v>3.7768785040856225</c:v>
                </c:pt>
                <c:pt idx="83">
                  <c:v>3.4861350298242462</c:v>
                </c:pt>
                <c:pt idx="84">
                  <c:v>3.1955805473342584</c:v>
                </c:pt>
                <c:pt idx="85">
                  <c:v>2.9051918018699601</c:v>
                </c:pt>
                <c:pt idx="86">
                  <c:v>2.6149472757630625</c:v>
                </c:pt>
                <c:pt idx="87">
                  <c:v>2.3248270567397107</c:v>
                </c:pt>
                <c:pt idx="88">
                  <c:v>2.0348127170410231</c:v>
                </c:pt>
                <c:pt idx="89">
                  <c:v>1.7448872023776851</c:v>
                </c:pt>
                <c:pt idx="90">
                  <c:v>1.4550347298440856</c:v>
                </c:pt>
                <c:pt idx="91">
                  <c:v>1.1652406940024049</c:v>
                </c:pt>
                <c:pt idx="92">
                  <c:v>0.87549158042288677</c:v>
                </c:pt>
                <c:pt idx="93">
                  <c:v>0.5857748860346802</c:v>
                </c:pt>
                <c:pt idx="94">
                  <c:v>0.29607904570245724</c:v>
                </c:pt>
                <c:pt idx="95">
                  <c:v>6.3933644988213335E-3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UI!$AS$2</c:f>
              <c:strCache>
                <c:ptCount val="1"/>
                <c:pt idx="0">
                  <c:v>OMC-17HM19-1684S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3.3714756164073552</c:v>
                </c:pt>
                <c:pt idx="1">
                  <c:v>3.7624968328147106</c:v>
                </c:pt>
                <c:pt idx="2">
                  <c:v>4.1535180492220656</c:v>
                </c:pt>
                <c:pt idx="3">
                  <c:v>4.544539265629421</c:v>
                </c:pt>
                <c:pt idx="4">
                  <c:v>4.9355604820367756</c:v>
                </c:pt>
                <c:pt idx="5">
                  <c:v>5.326581698444131</c:v>
                </c:pt>
                <c:pt idx="6">
                  <c:v>5.7176029148514864</c:v>
                </c:pt>
                <c:pt idx="7">
                  <c:v>6.108624131258841</c:v>
                </c:pt>
                <c:pt idx="8">
                  <c:v>6.4996453476661964</c:v>
                </c:pt>
                <c:pt idx="9">
                  <c:v>6.8906665640735518</c:v>
                </c:pt>
                <c:pt idx="10">
                  <c:v>7.2816877804809064</c:v>
                </c:pt>
                <c:pt idx="11">
                  <c:v>7.6727089968882618</c:v>
                </c:pt>
                <c:pt idx="12">
                  <c:v>8.0637302132956172</c:v>
                </c:pt>
                <c:pt idx="13">
                  <c:v>8.4547514297029718</c:v>
                </c:pt>
                <c:pt idx="14">
                  <c:v>8.8457726461103263</c:v>
                </c:pt>
                <c:pt idx="15">
                  <c:v>9.2367938625176826</c:v>
                </c:pt>
                <c:pt idx="16">
                  <c:v>9.6278150789250372</c:v>
                </c:pt>
                <c:pt idx="17">
                  <c:v>10.018836295332392</c:v>
                </c:pt>
                <c:pt idx="18">
                  <c:v>10.273270113733371</c:v>
                </c:pt>
                <c:pt idx="19">
                  <c:v>9.864278750014817</c:v>
                </c:pt>
                <c:pt idx="20">
                  <c:v>9.4968864463598788</c:v>
                </c:pt>
                <c:pt idx="21">
                  <c:v>9.1638986863374381</c:v>
                </c:pt>
                <c:pt idx="22">
                  <c:v>8.8595645697411598</c:v>
                </c:pt>
                <c:pt idx="23">
                  <c:v>8.5792474978339879</c:v>
                </c:pt>
                <c:pt idx="24">
                  <c:v>8.3191796251825387</c:v>
                </c:pt>
                <c:pt idx="25">
                  <c:v>8.0762766921242104</c:v>
                </c:pt>
                <c:pt idx="26">
                  <c:v>7.8479969273951795</c:v>
                </c:pt>
                <c:pt idx="27">
                  <c:v>7.6322324895877829</c:v>
                </c:pt>
                <c:pt idx="28">
                  <c:v>7.4272251917335046</c:v>
                </c:pt>
                <c:pt idx="29">
                  <c:v>7.231500529051325</c:v>
                </c:pt>
                <c:pt idx="30">
                  <c:v>7.0438156310044011</c:v>
                </c:pt>
                <c:pt idx="31">
                  <c:v>6.8631178985550045</c:v>
                </c:pt>
                <c:pt idx="32">
                  <c:v>6.6885119077727184</c:v>
                </c:pt>
                <c:pt idx="33">
                  <c:v>6.5192327573712916</c:v>
                </c:pt>
                <c:pt idx="34">
                  <c:v>6.3546244756015478</c:v>
                </c:pt>
                <c:pt idx="35">
                  <c:v>6.1941224262884829</c:v>
                </c:pt>
                <c:pt idx="36">
                  <c:v>6.037238896141214</c:v>
                </c:pt>
                <c:pt idx="37">
                  <c:v>5.8835512279851319</c:v>
                </c:pt>
                <c:pt idx="38">
                  <c:v>5.7326920030794968</c:v>
                </c:pt>
                <c:pt idx="39">
                  <c:v>5.5843408815588553</c:v>
                </c:pt>
                <c:pt idx="40">
                  <c:v>5.4382177915168617</c:v>
                </c:pt>
                <c:pt idx="41">
                  <c:v>5.2940772203634729</c:v>
                </c:pt>
                <c:pt idx="42">
                  <c:v>5.151703411273056</c:v>
                </c:pt>
                <c:pt idx="43">
                  <c:v>5.0109063060989003</c:v>
                </c:pt>
                <c:pt idx="44">
                  <c:v>4.8715181065247002</c:v>
                </c:pt>
                <c:pt idx="45">
                  <c:v>4.7333903493112288</c:v>
                </c:pt>
                <c:pt idx="46">
                  <c:v>4.5963914106827959</c:v>
                </c:pt>
                <c:pt idx="47">
                  <c:v>4.4604043702546008</c:v>
                </c:pt>
                <c:pt idx="48">
                  <c:v>4.3253251772505097</c:v>
                </c:pt>
                <c:pt idx="49">
                  <c:v>4.1910610717344143</c:v>
                </c:pt>
                <c:pt idx="50">
                  <c:v>4.0575292216683874</c:v>
                </c:pt>
                <c:pt idx="51">
                  <c:v>3.9246555431998122</c:v>
                </c:pt>
                <c:pt idx="52">
                  <c:v>3.7923736769672449</c:v>
                </c:pt>
                <c:pt idx="53">
                  <c:v>3.6606240976365454</c:v>
                </c:pt>
                <c:pt idx="54">
                  <c:v>3.5293533375212638</c:v>
                </c:pt>
                <c:pt idx="55">
                  <c:v>3.3985133081520038</c:v>
                </c:pt>
                <c:pt idx="56">
                  <c:v>3.2680607061566969</c:v>
                </c:pt>
                <c:pt idx="57">
                  <c:v>3.1379564918915186</c:v>
                </c:pt>
                <c:pt idx="58">
                  <c:v>3.00816543099649</c:v>
                </c:pt>
                <c:pt idx="59">
                  <c:v>2.8786556905018226</c:v>
                </c:pt>
                <c:pt idx="60">
                  <c:v>2.7493984823301338</c:v>
                </c:pt>
                <c:pt idx="61">
                  <c:v>2.6203677480662928</c:v>
                </c:pt>
                <c:pt idx="62">
                  <c:v>2.4915398797332169</c:v>
                </c:pt>
                <c:pt idx="63">
                  <c:v>2.3628934720456987</c:v>
                </c:pt>
                <c:pt idx="64">
                  <c:v>2.2344091022369392</c:v>
                </c:pt>
                <c:pt idx="65">
                  <c:v>2.1060691340821993</c:v>
                </c:pt>
                <c:pt idx="66">
                  <c:v>1.977857543195723</c:v>
                </c:pt>
                <c:pt idx="67">
                  <c:v>1.8497597610632102</c:v>
                </c:pt>
                <c:pt idx="68">
                  <c:v>1.72176253560294</c:v>
                </c:pt>
                <c:pt idx="69">
                  <c:v>1.5938538063326226</c:v>
                </c:pt>
                <c:pt idx="70">
                  <c:v>1.4660225924634287</c:v>
                </c:pt>
                <c:pt idx="71">
                  <c:v>1.338258892453295</c:v>
                </c:pt>
                <c:pt idx="72">
                  <c:v>1.210553593733583</c:v>
                </c:pt>
                <c:pt idx="73">
                  <c:v>1.0828983914806594</c:v>
                </c:pt>
                <c:pt idx="74">
                  <c:v>0.95528571544056984</c:v>
                </c:pt>
                <c:pt idx="75">
                  <c:v>0.82770866393359599</c:v>
                </c:pt>
                <c:pt idx="76">
                  <c:v>0.70016094426876585</c:v>
                </c:pt>
                <c:pt idx="77">
                  <c:v>0.57263681888836426</c:v>
                </c:pt>
                <c:pt idx="78">
                  <c:v>0.4451310566411551</c:v>
                </c:pt>
                <c:pt idx="79">
                  <c:v>0.31763888865171525</c:v>
                </c:pt>
                <c:pt idx="80">
                  <c:v>0.19015596831356235</c:v>
                </c:pt>
                <c:pt idx="81">
                  <c:v>6.2678334986561293E-2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UI!$AT$2</c:f>
              <c:strCache>
                <c:ptCount val="1"/>
                <c:pt idx="0">
                  <c:v>Nanotec-ST4209L1704-A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3.6424260164073554</c:v>
                </c:pt>
                <c:pt idx="1">
                  <c:v>4.0334472328147104</c:v>
                </c:pt>
                <c:pt idx="2">
                  <c:v>4.4244684492220658</c:v>
                </c:pt>
                <c:pt idx="3">
                  <c:v>4.8154896656294204</c:v>
                </c:pt>
                <c:pt idx="4">
                  <c:v>5.2065108820367758</c:v>
                </c:pt>
                <c:pt idx="5">
                  <c:v>5.5975320984441312</c:v>
                </c:pt>
                <c:pt idx="6">
                  <c:v>5.9885533148514858</c:v>
                </c:pt>
                <c:pt idx="7">
                  <c:v>6.3795745312588412</c:v>
                </c:pt>
                <c:pt idx="8">
                  <c:v>6.7705957476661967</c:v>
                </c:pt>
                <c:pt idx="9">
                  <c:v>7.1616169640735512</c:v>
                </c:pt>
                <c:pt idx="10">
                  <c:v>7.5526381804809066</c:v>
                </c:pt>
                <c:pt idx="11">
                  <c:v>7.9436593968882621</c:v>
                </c:pt>
                <c:pt idx="12">
                  <c:v>8.3346806132956175</c:v>
                </c:pt>
                <c:pt idx="13">
                  <c:v>8.725701829702972</c:v>
                </c:pt>
                <c:pt idx="14">
                  <c:v>9.1167230461103266</c:v>
                </c:pt>
                <c:pt idx="15">
                  <c:v>9.5077442625176829</c:v>
                </c:pt>
                <c:pt idx="16">
                  <c:v>9.0666329358346065</c:v>
                </c:pt>
                <c:pt idx="17">
                  <c:v>8.6607151900011576</c:v>
                </c:pt>
                <c:pt idx="18">
                  <c:v>8.3028125791575214</c:v>
                </c:pt>
                <c:pt idx="19">
                  <c:v>7.9838912132102475</c:v>
                </c:pt>
                <c:pt idx="20">
                  <c:v>7.6968913765830429</c:v>
                </c:pt>
                <c:pt idx="21">
                  <c:v>7.4362377509069768</c:v>
                </c:pt>
                <c:pt idx="22">
                  <c:v>7.1974848379028566</c:v>
                </c:pt>
                <c:pt idx="23">
                  <c:v>6.9770567177053735</c:v>
                </c:pt>
                <c:pt idx="24">
                  <c:v>6.772053631342537</c:v>
                </c:pt>
                <c:pt idx="25">
                  <c:v>6.5801065597365644</c:v>
                </c:pt>
                <c:pt idx="26">
                  <c:v>6.3992667187864036</c:v>
                </c:pt>
                <c:pt idx="27">
                  <c:v>6.2279207558902048</c:v>
                </c:pt>
                <c:pt idx="28">
                  <c:v>6.0647250726915765</c:v>
                </c:pt>
                <c:pt idx="29">
                  <c:v>5.9085545260275012</c:v>
                </c:pt>
                <c:pt idx="30">
                  <c:v>5.7584620403092721</c:v>
                </c:pt>
                <c:pt idx="31">
                  <c:v>5.613646573802149</c:v>
                </c:pt>
                <c:pt idx="32">
                  <c:v>5.4734275337395317</c:v>
                </c:pt>
                <c:pt idx="33">
                  <c:v>5.3372242083337085</c:v>
                </c:pt>
                <c:pt idx="34">
                  <c:v>5.2045391301964559</c:v>
                </c:pt>
                <c:pt idx="35">
                  <c:v>5.0749445417171399</c:v>
                </c:pt>
                <c:pt idx="36">
                  <c:v>4.9480713238045269</c:v>
                </c:pt>
                <c:pt idx="37">
                  <c:v>4.8235998928374588</c:v>
                </c:pt>
                <c:pt idx="38">
                  <c:v>4.7012526793042806</c:v>
                </c:pt>
                <c:pt idx="39">
                  <c:v>4.5807878844883403</c:v>
                </c:pt>
                <c:pt idx="40">
                  <c:v>4.461994275221997</c:v>
                </c:pt>
                <c:pt idx="41">
                  <c:v>4.3446868259598919</c:v>
                </c:pt>
                <c:pt idx="42">
                  <c:v>4.2287030557248713</c:v>
                </c:pt>
                <c:pt idx="43">
                  <c:v>4.1138999374590286</c:v>
                </c:pt>
                <c:pt idx="44">
                  <c:v>4.0001512809091739</c:v>
                </c:pt>
                <c:pt idx="45">
                  <c:v>3.8873455088496076</c:v>
                </c:pt>
                <c:pt idx="46">
                  <c:v>3.7753837612986736</c:v>
                </c:pt>
                <c:pt idx="47">
                  <c:v>3.6641782742586657</c:v>
                </c:pt>
                <c:pt idx="48">
                  <c:v>3.5536509890440042</c:v>
                </c:pt>
                <c:pt idx="49">
                  <c:v>3.4437323559550186</c:v>
                </c:pt>
                <c:pt idx="50">
                  <c:v>3.3343603022870307</c:v>
                </c:pt>
                <c:pt idx="51">
                  <c:v>3.2254793397348807</c:v>
                </c:pt>
                <c:pt idx="52">
                  <c:v>3.1170397903944984</c:v>
                </c:pt>
                <c:pt idx="53">
                  <c:v>3.0089971139587179</c:v>
                </c:pt>
                <c:pt idx="54">
                  <c:v>2.9013113214988961</c:v>
                </c:pt>
                <c:pt idx="55">
                  <c:v>2.7939464635314706</c:v>
                </c:pt>
                <c:pt idx="56">
                  <c:v>2.6868701819807517</c:v>
                </c:pt>
                <c:pt idx="57">
                  <c:v>2.5800533172389395</c:v>
                </c:pt>
                <c:pt idx="58">
                  <c:v>2.4734695628500352</c:v>
                </c:pt>
                <c:pt idx="59">
                  <c:v>2.3670951614533542</c:v>
                </c:pt>
                <c:pt idx="60">
                  <c:v>2.2609086365527227</c:v>
                </c:pt>
                <c:pt idx="61">
                  <c:v>2.1548905554602684</c:v>
                </c:pt>
                <c:pt idx="62">
                  <c:v>2.0490233194241392</c:v>
                </c:pt>
                <c:pt idx="63">
                  <c:v>1.94329097750812</c:v>
                </c:pt>
                <c:pt idx="64">
                  <c:v>1.8376790612649296</c:v>
                </c:pt>
                <c:pt idx="65">
                  <c:v>1.7321744376477706</c:v>
                </c:pt>
                <c:pt idx="66">
                  <c:v>1.6267651779479975</c:v>
                </c:pt>
                <c:pt idx="67">
                  <c:v>1.5214404408399913</c:v>
                </c:pt>
                <c:pt idx="68">
                  <c:v>1.4161903678654182</c:v>
                </c:pt>
                <c:pt idx="69">
                  <c:v>1.3110059899044311</c:v>
                </c:pt>
                <c:pt idx="70">
                  <c:v>1.205879143366634</c:v>
                </c:pt>
                <c:pt idx="71">
                  <c:v>1.1008023949942076</c:v>
                </c:pt>
                <c:pt idx="72">
                  <c:v>0.99576897430739109</c:v>
                </c:pt>
                <c:pt idx="73">
                  <c:v>0.89077271284170256</c:v>
                </c:pt>
                <c:pt idx="74">
                  <c:v>0.78580798942961294</c:v>
                </c:pt>
                <c:pt idx="75">
                  <c:v>0.68086968086904587</c:v>
                </c:pt>
                <c:pt idx="76">
                  <c:v>0.57595311739913357</c:v>
                </c:pt>
                <c:pt idx="77">
                  <c:v>0.47105404247160959</c:v>
                </c:pt>
                <c:pt idx="78">
                  <c:v>0.36616857636559352</c:v>
                </c:pt>
                <c:pt idx="79">
                  <c:v>0.26129318324536543</c:v>
                </c:pt>
                <c:pt idx="80">
                  <c:v>0.15642464130618239</c:v>
                </c:pt>
                <c:pt idx="81">
                  <c:v>5.1560015692999249E-2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UI!$AU$2</c:f>
              <c:strCache>
                <c:ptCount val="1"/>
                <c:pt idx="0">
                  <c:v>Motech-MT-1704HSM168RE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3.3636551920792082</c:v>
                </c:pt>
                <c:pt idx="1">
                  <c:v>3.7468559841584161</c:v>
                </c:pt>
                <c:pt idx="2">
                  <c:v>4.130056776237625</c:v>
                </c:pt>
                <c:pt idx="3">
                  <c:v>4.5132575683168321</c:v>
                </c:pt>
                <c:pt idx="4">
                  <c:v>4.8964583603960401</c:v>
                </c:pt>
                <c:pt idx="5">
                  <c:v>5.2796591524752481</c:v>
                </c:pt>
                <c:pt idx="6">
                  <c:v>5.6628599445544561</c:v>
                </c:pt>
                <c:pt idx="7">
                  <c:v>6.0460607366336649</c:v>
                </c:pt>
                <c:pt idx="8">
                  <c:v>6.429261528712872</c:v>
                </c:pt>
                <c:pt idx="9">
                  <c:v>6.8124623207920809</c:v>
                </c:pt>
                <c:pt idx="10">
                  <c:v>7.1956631128712889</c:v>
                </c:pt>
                <c:pt idx="11">
                  <c:v>7.5788639049504969</c:v>
                </c:pt>
                <c:pt idx="12">
                  <c:v>7.9620646970297049</c:v>
                </c:pt>
                <c:pt idx="13">
                  <c:v>8.3452654891089129</c:v>
                </c:pt>
                <c:pt idx="14">
                  <c:v>8.7284662811881208</c:v>
                </c:pt>
                <c:pt idx="15">
                  <c:v>9.1116670732673288</c:v>
                </c:pt>
                <c:pt idx="16">
                  <c:v>9.4948678653465368</c:v>
                </c:pt>
                <c:pt idx="17">
                  <c:v>9.8780686574257448</c:v>
                </c:pt>
                <c:pt idx="18">
                  <c:v>10.261269449504953</c:v>
                </c:pt>
                <c:pt idx="19">
                  <c:v>10.644470241584161</c:v>
                </c:pt>
                <c:pt idx="20">
                  <c:v>11.027671033663369</c:v>
                </c:pt>
                <c:pt idx="21">
                  <c:v>11.410871825742577</c:v>
                </c:pt>
                <c:pt idx="22">
                  <c:v>11.794072617821785</c:v>
                </c:pt>
                <c:pt idx="23">
                  <c:v>12.177273409900991</c:v>
                </c:pt>
                <c:pt idx="24">
                  <c:v>12.447966782220172</c:v>
                </c:pt>
                <c:pt idx="25">
                  <c:v>12.048332010947705</c:v>
                </c:pt>
                <c:pt idx="26">
                  <c:v>11.675921838710092</c:v>
                </c:pt>
                <c:pt idx="27">
                  <c:v>11.326951081994867</c:v>
                </c:pt>
                <c:pt idx="28">
                  <c:v>10.998240458502622</c:v>
                </c:pt>
                <c:pt idx="29">
                  <c:v>10.687106183876098</c:v>
                </c:pt>
                <c:pt idx="30">
                  <c:v>10.391272091750615</c:v>
                </c:pt>
                <c:pt idx="31">
                  <c:v>10.108799208324113</c:v>
                </c:pt>
                <c:pt idx="32">
                  <c:v>9.8380289555215956</c:v>
                </c:pt>
                <c:pt idx="33">
                  <c:v>9.5775370710242402</c:v>
                </c:pt>
                <c:pt idx="34">
                  <c:v>9.3260960119050687</c:v>
                </c:pt>
                <c:pt idx="35">
                  <c:v>9.0826441163994058</c:v>
                </c:pt>
                <c:pt idx="36">
                  <c:v>8.8462601814110595</c:v>
                </c:pt>
                <c:pt idx="37">
                  <c:v>8.6161424045224972</c:v>
                </c:pt>
                <c:pt idx="38">
                  <c:v>8.3915908621688935</c:v>
                </c:pt>
                <c:pt idx="39">
                  <c:v>8.1719928674149394</c:v>
                </c:pt>
                <c:pt idx="40">
                  <c:v>7.956810684011641</c:v>
                </c:pt>
                <c:pt idx="41">
                  <c:v>7.7455711773852549</c:v>
                </c:pt>
                <c:pt idx="42">
                  <c:v>7.5378570648207024</c:v>
                </c:pt>
                <c:pt idx="43">
                  <c:v>7.3332994915124523</c:v>
                </c:pt>
                <c:pt idx="44">
                  <c:v>7.1315717102602001</c:v>
                </c:pt>
                <c:pt idx="45">
                  <c:v>6.932383683337906</c:v>
                </c:pt>
                <c:pt idx="46">
                  <c:v>6.7354774577172707</c:v>
                </c:pt>
                <c:pt idx="47">
                  <c:v>6.5406231911102353</c:v>
                </c:pt>
                <c:pt idx="48">
                  <c:v>6.3476157275458753</c:v>
                </c:pt>
                <c:pt idx="49">
                  <c:v>6.1562716384511269</c:v>
                </c:pt>
                <c:pt idx="50">
                  <c:v>5.9664266592709811</c:v>
                </c:pt>
                <c:pt idx="51">
                  <c:v>5.7779334631757902</c:v>
                </c:pt>
                <c:pt idx="52">
                  <c:v>5.5906597228602752</c:v>
                </c:pt>
                <c:pt idx="53">
                  <c:v>5.4044864192356075</c:v>
                </c:pt>
                <c:pt idx="54">
                  <c:v>5.2193063622662734</c:v>
                </c:pt>
                <c:pt idx="55">
                  <c:v>5.0350228945577582</c:v>
                </c:pt>
                <c:pt idx="56">
                  <c:v>4.8515487527599328</c:v>
                </c:pt>
                <c:pt idx="57">
                  <c:v>4.668805065575599</c:v>
                </c:pt>
                <c:pt idx="58">
                  <c:v>4.4867204702844168</c:v>
                </c:pt>
                <c:pt idx="59">
                  <c:v>4.3052303323146051</c:v>
                </c:pt>
                <c:pt idx="60">
                  <c:v>4.1242760546044321</c:v>
                </c:pt>
                <c:pt idx="61">
                  <c:v>3.9438044653623328</c:v>
                </c:pt>
                <c:pt idx="62">
                  <c:v>3.763767274416014</c:v>
                </c:pt>
                <c:pt idx="63">
                  <c:v>3.5841205896839403</c:v>
                </c:pt>
                <c:pt idx="64">
                  <c:v>3.4048244864460795</c:v>
                </c:pt>
                <c:pt idx="65">
                  <c:v>3.225842623066471</c:v>
                </c:pt>
                <c:pt idx="66">
                  <c:v>3.047141897654905</c:v>
                </c:pt>
                <c:pt idx="67">
                  <c:v>2.8686921408703325</c:v>
                </c:pt>
                <c:pt idx="68">
                  <c:v>2.6904658406833857</c:v>
                </c:pt>
                <c:pt idx="69">
                  <c:v>2.5124378954444739</c:v>
                </c:pt>
                <c:pt idx="70">
                  <c:v>2.3345853920604571</c:v>
                </c:pt>
                <c:pt idx="71">
                  <c:v>2.1568874064774373</c:v>
                </c:pt>
                <c:pt idx="72">
                  <c:v>1.9793248240089312</c:v>
                </c:pt>
                <c:pt idx="73">
                  <c:v>1.8018801773451951</c:v>
                </c:pt>
                <c:pt idx="74">
                  <c:v>1.6245375003371838</c:v>
                </c:pt>
                <c:pt idx="75">
                  <c:v>1.4472821958730273</c:v>
                </c:pt>
                <c:pt idx="76">
                  <c:v>1.2701009163606933</c:v>
                </c:pt>
                <c:pt idx="77">
                  <c:v>1.0929814555015356</c:v>
                </c:pt>
                <c:pt idx="78">
                  <c:v>0.91591265018907131</c:v>
                </c:pt>
                <c:pt idx="79">
                  <c:v>0.73888429149862778</c:v>
                </c:pt>
                <c:pt idx="80">
                  <c:v>0.56188704384859811</c:v>
                </c:pt>
                <c:pt idx="81">
                  <c:v>0.38491237151538871</c:v>
                </c:pt>
                <c:pt idx="82">
                  <c:v>0.20795247177328921</c:v>
                </c:pt>
                <c:pt idx="83">
                  <c:v>3.1000214009154842E-2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UI!$AV$2</c:f>
              <c:strCache>
                <c:ptCount val="1"/>
                <c:pt idx="0">
                  <c:v>OMC-14HS20-1504S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4.3874738330975962</c:v>
                </c:pt>
                <c:pt idx="1">
                  <c:v>4.7429476661951924</c:v>
                </c:pt>
                <c:pt idx="2">
                  <c:v>5.0984214992927877</c:v>
                </c:pt>
                <c:pt idx="3">
                  <c:v>5.4538953323903838</c:v>
                </c:pt>
                <c:pt idx="4">
                  <c:v>5.8093691654879791</c:v>
                </c:pt>
                <c:pt idx="5">
                  <c:v>6.1648429985855744</c:v>
                </c:pt>
                <c:pt idx="6">
                  <c:v>6.5203168316831697</c:v>
                </c:pt>
                <c:pt idx="7">
                  <c:v>6.8757906647807649</c:v>
                </c:pt>
                <c:pt idx="8">
                  <c:v>7.2312644978783602</c:v>
                </c:pt>
                <c:pt idx="9">
                  <c:v>7.5867383309759564</c:v>
                </c:pt>
                <c:pt idx="10">
                  <c:v>7.9422121640735526</c:v>
                </c:pt>
                <c:pt idx="11">
                  <c:v>8.2976859971711487</c:v>
                </c:pt>
                <c:pt idx="12">
                  <c:v>8.6531598302687449</c:v>
                </c:pt>
                <c:pt idx="13">
                  <c:v>9.0086336633663393</c:v>
                </c:pt>
                <c:pt idx="14">
                  <c:v>9.3641074964639355</c:v>
                </c:pt>
                <c:pt idx="15">
                  <c:v>9.7195813295615299</c:v>
                </c:pt>
                <c:pt idx="16">
                  <c:v>10.075055162659126</c:v>
                </c:pt>
                <c:pt idx="17">
                  <c:v>10.43052899575672</c:v>
                </c:pt>
                <c:pt idx="18">
                  <c:v>10.786002828854317</c:v>
                </c:pt>
                <c:pt idx="19">
                  <c:v>11.141476661951913</c:v>
                </c:pt>
                <c:pt idx="20">
                  <c:v>11.496950495049507</c:v>
                </c:pt>
                <c:pt idx="21">
                  <c:v>11.852424328147105</c:v>
                </c:pt>
                <c:pt idx="22">
                  <c:v>12.207898161244698</c:v>
                </c:pt>
                <c:pt idx="23">
                  <c:v>12.563371994342294</c:v>
                </c:pt>
                <c:pt idx="24">
                  <c:v>12.91884582743989</c:v>
                </c:pt>
                <c:pt idx="25">
                  <c:v>13.274319660537486</c:v>
                </c:pt>
                <c:pt idx="26">
                  <c:v>13.629793493635082</c:v>
                </c:pt>
                <c:pt idx="27">
                  <c:v>13.985267326732675</c:v>
                </c:pt>
                <c:pt idx="28">
                  <c:v>14.340741159830273</c:v>
                </c:pt>
                <c:pt idx="29">
                  <c:v>14.696214992927867</c:v>
                </c:pt>
                <c:pt idx="30">
                  <c:v>15.051688826025465</c:v>
                </c:pt>
                <c:pt idx="31">
                  <c:v>15.015972466765536</c:v>
                </c:pt>
                <c:pt idx="32">
                  <c:v>14.534602882428707</c:v>
                </c:pt>
                <c:pt idx="33">
                  <c:v>14.075529962427007</c:v>
                </c:pt>
                <c:pt idx="34">
                  <c:v>13.63634402752866</c:v>
                </c:pt>
                <c:pt idx="35">
                  <c:v>13.214925586409876</c:v>
                </c:pt>
                <c:pt idx="36">
                  <c:v>12.809405847532584</c:v>
                </c:pt>
                <c:pt idx="37">
                  <c:v>12.418133248581217</c:v>
                </c:pt>
                <c:pt idx="38">
                  <c:v>12.039644988703399</c:v>
                </c:pt>
                <c:pt idx="39">
                  <c:v>11.672642736067628</c:v>
                </c:pt>
                <c:pt idx="40">
                  <c:v>11.315971833061177</c:v>
                </c:pt>
                <c:pt idx="41">
                  <c:v>10.968603441858232</c:v>
                </c:pt>
                <c:pt idx="42">
                  <c:v>10.629619170297032</c:v>
                </c:pt>
                <c:pt idx="43">
                  <c:v>10.298197796822624</c:v>
                </c:pt>
                <c:pt idx="44">
                  <c:v>9.9736037774222499</c:v>
                </c:pt>
                <c:pt idx="45">
                  <c:v>9.655177269931789</c:v>
                </c:pt>
                <c:pt idx="46">
                  <c:v>9.3423254541283409</c:v>
                </c:pt>
                <c:pt idx="47">
                  <c:v>9.0345149614641436</c:v>
                </c:pt>
                <c:pt idx="48">
                  <c:v>8.7312652575852514</c:v>
                </c:pt>
                <c:pt idx="49">
                  <c:v>8.4321428450638614</c:v>
                </c:pt>
                <c:pt idx="50">
                  <c:v>8.1367561739768561</c:v>
                </c:pt>
                <c:pt idx="51">
                  <c:v>7.8447511648236761</c:v>
                </c:pt>
                <c:pt idx="52">
                  <c:v>7.5558072623902435</c:v>
                </c:pt>
                <c:pt idx="53">
                  <c:v>7.2696339510143702</c:v>
                </c:pt>
                <c:pt idx="54">
                  <c:v>6.9859676716837003</c:v>
                </c:pt>
                <c:pt idx="55">
                  <c:v>6.7045690898189045</c:v>
                </c:pt>
                <c:pt idx="56">
                  <c:v>6.4252206697232843</c:v>
                </c:pt>
                <c:pt idx="57">
                  <c:v>6.1477245177295057</c:v>
                </c:pt>
                <c:pt idx="58">
                  <c:v>5.8719004612206644</c:v>
                </c:pt>
                <c:pt idx="59">
                  <c:v>5.5975843350916925</c:v>
                </c:pt>
                <c:pt idx="60">
                  <c:v>5.3246264509687169</c:v>
                </c:pt>
                <c:pt idx="61">
                  <c:v>5.0528902277177021</c:v>
                </c:pt>
                <c:pt idx="62">
                  <c:v>4.7822509645332456</c:v>
                </c:pt>
                <c:pt idx="63">
                  <c:v>4.5125947402724655</c:v>
                </c:pt>
                <c:pt idx="64">
                  <c:v>4.2438174247459735</c:v>
                </c:pt>
                <c:pt idx="65">
                  <c:v>3.9758237894463568</c:v>
                </c:pt>
                <c:pt idx="66">
                  <c:v>3.7085267067252157</c:v>
                </c:pt>
                <c:pt idx="67">
                  <c:v>3.4418464277574801</c:v>
                </c:pt>
                <c:pt idx="68">
                  <c:v>3.1757099307848975</c:v>
                </c:pt>
                <c:pt idx="69">
                  <c:v>2.9100503321346864</c:v>
                </c:pt>
                <c:pt idx="70">
                  <c:v>2.6448063533844208</c:v>
                </c:pt>
                <c:pt idx="71">
                  <c:v>2.3799218388088494</c:v>
                </c:pt>
                <c:pt idx="72">
                  <c:v>2.1153453179130208</c:v>
                </c:pt>
                <c:pt idx="73">
                  <c:v>1.851029608442081</c:v>
                </c:pt>
                <c:pt idx="74">
                  <c:v>1.5869314557724692</c:v>
                </c:pt>
                <c:pt idx="75">
                  <c:v>1.3230112050411114</c:v>
                </c:pt>
                <c:pt idx="76">
                  <c:v>1.059232502767266</c:v>
                </c:pt>
                <c:pt idx="77">
                  <c:v>0.79556202507224416</c:v>
                </c:pt>
                <c:pt idx="78">
                  <c:v>0.53196922991203077</c:v>
                </c:pt>
                <c:pt idx="79">
                  <c:v>0.2684261310114392</c:v>
                </c:pt>
                <c:pt idx="80">
                  <c:v>4.9070914307227315E-3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UI!$AW$2</c:f>
              <c:strCache>
                <c:ptCount val="1"/>
                <c:pt idx="0">
                  <c:v>LDO-42STH48-1684MAH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3.328818756435644</c:v>
                </c:pt>
                <c:pt idx="1">
                  <c:v>3.6771831128712873</c:v>
                </c:pt>
                <c:pt idx="2">
                  <c:v>4.0255474693069306</c:v>
                </c:pt>
                <c:pt idx="3">
                  <c:v>4.3739118257425744</c:v>
                </c:pt>
                <c:pt idx="4">
                  <c:v>4.7222761821782191</c:v>
                </c:pt>
                <c:pt idx="5">
                  <c:v>5.070640538613862</c:v>
                </c:pt>
                <c:pt idx="6">
                  <c:v>5.4190048950495058</c:v>
                </c:pt>
                <c:pt idx="7">
                  <c:v>5.7673692514851504</c:v>
                </c:pt>
                <c:pt idx="8">
                  <c:v>6.1157336079207933</c:v>
                </c:pt>
                <c:pt idx="9">
                  <c:v>6.4640979643564362</c:v>
                </c:pt>
                <c:pt idx="10">
                  <c:v>6.8124623207920809</c:v>
                </c:pt>
                <c:pt idx="11">
                  <c:v>7.1608266772277247</c:v>
                </c:pt>
                <c:pt idx="12">
                  <c:v>7.5091910336633676</c:v>
                </c:pt>
                <c:pt idx="13">
                  <c:v>7.8575553900990105</c:v>
                </c:pt>
                <c:pt idx="14">
                  <c:v>8.2059197465346543</c:v>
                </c:pt>
                <c:pt idx="15">
                  <c:v>8.5542841029702998</c:v>
                </c:pt>
                <c:pt idx="16">
                  <c:v>8.9026484594059418</c:v>
                </c:pt>
                <c:pt idx="17">
                  <c:v>9.2510128158415874</c:v>
                </c:pt>
                <c:pt idx="18">
                  <c:v>9.5993771722772294</c:v>
                </c:pt>
                <c:pt idx="19">
                  <c:v>9.9477415287128732</c:v>
                </c:pt>
                <c:pt idx="20">
                  <c:v>10.296105885148517</c:v>
                </c:pt>
                <c:pt idx="21">
                  <c:v>10.644470241584161</c:v>
                </c:pt>
                <c:pt idx="22">
                  <c:v>10.992834598019805</c:v>
                </c:pt>
                <c:pt idx="23">
                  <c:v>11.341198954455448</c:v>
                </c:pt>
                <c:pt idx="24">
                  <c:v>11.689563310891092</c:v>
                </c:pt>
                <c:pt idx="25">
                  <c:v>11.760967679746686</c:v>
                </c:pt>
                <c:pt idx="26">
                  <c:v>11.404756773086252</c:v>
                </c:pt>
                <c:pt idx="27">
                  <c:v>11.072895535631702</c:v>
                </c:pt>
                <c:pt idx="28">
                  <c:v>10.762129299707855</c:v>
                </c:pt>
                <c:pt idx="29">
                  <c:v>10.469706910564433</c:v>
                </c:pt>
                <c:pt idx="30">
                  <c:v>10.193291821685698</c:v>
                </c:pt>
                <c:pt idx="31">
                  <c:v>9.9308907956438617</c:v>
                </c:pt>
                <c:pt idx="32">
                  <c:v>9.6807963596880047</c:v>
                </c:pt>
                <c:pt idx="33">
                  <c:v>9.4415400839278085</c:v>
                </c:pt>
                <c:pt idx="34">
                  <c:v>9.2118544320577946</c:v>
                </c:pt>
                <c:pt idx="35">
                  <c:v>8.9906414452825043</c:v>
                </c:pt>
                <c:pt idx="36">
                  <c:v>8.7769469055548761</c:v>
                </c:pt>
                <c:pt idx="37">
                  <c:v>8.5699389173458904</c:v>
                </c:pt>
                <c:pt idx="38">
                  <c:v>8.3688900716395018</c:v>
                </c:pt>
                <c:pt idx="39">
                  <c:v>8.1731625289252641</c:v>
                </c:pt>
                <c:pt idx="40">
                  <c:v>7.9821954922681355</c:v>
                </c:pt>
                <c:pt idx="41">
                  <c:v>7.7954946463922443</c:v>
                </c:pt>
                <c:pt idx="42">
                  <c:v>7.6126232210560945</c:v>
                </c:pt>
                <c:pt idx="43">
                  <c:v>7.4331944020143874</c:v>
                </c:pt>
                <c:pt idx="44">
                  <c:v>7.2568648644718463</c:v>
                </c:pt>
                <c:pt idx="45">
                  <c:v>7.0833292451085619</c:v>
                </c:pt>
                <c:pt idx="46">
                  <c:v>6.9123154017636903</c:v>
                </c:pt>
                <c:pt idx="47">
                  <c:v>6.7435803364461204</c:v>
                </c:pt>
                <c:pt idx="48">
                  <c:v>6.5769066788432546</c:v>
                </c:pt>
                <c:pt idx="49">
                  <c:v>6.4120996449660863</c:v>
                </c:pt>
                <c:pt idx="50">
                  <c:v>6.248984399815571</c:v>
                </c:pt>
                <c:pt idx="51">
                  <c:v>6.0874037646210821</c:v>
                </c:pt>
                <c:pt idx="52">
                  <c:v>5.9272162187897131</c:v>
                </c:pt>
                <c:pt idx="53">
                  <c:v>5.7682941546141127</c:v>
                </c:pt>
                <c:pt idx="54">
                  <c:v>5.6105223493330456</c:v>
                </c:pt>
                <c:pt idx="55">
                  <c:v>5.4537966245757037</c:v>
                </c:pt>
                <c:pt idx="56">
                  <c:v>5.2980226677508835</c:v>
                </c:pt>
                <c:pt idx="57">
                  <c:v>5.1431149937281315</c:v>
                </c:pt>
                <c:pt idx="58">
                  <c:v>4.9889960283318713</c:v>
                </c:pt>
                <c:pt idx="59">
                  <c:v>4.8355952978378482</c:v>
                </c:pt>
                <c:pt idx="60">
                  <c:v>4.6828487109108892</c:v>
                </c:pt>
                <c:pt idx="61">
                  <c:v>4.5306979213247152</c:v>
                </c:pt>
                <c:pt idx="62">
                  <c:v>4.3790897614165498</c:v>
                </c:pt>
                <c:pt idx="63">
                  <c:v>4.22797573759886</c:v>
                </c:pt>
                <c:pt idx="64">
                  <c:v>4.0773115804174438</c:v>
                </c:pt>
                <c:pt idx="65">
                  <c:v>3.9270568426412389</c:v>
                </c:pt>
                <c:pt idx="66">
                  <c:v>3.7771745397218837</c:v>
                </c:pt>
                <c:pt idx="67">
                  <c:v>3.627630827692335</c:v>
                </c:pt>
                <c:pt idx="68">
                  <c:v>3.4783947142025329</c:v>
                </c:pt>
                <c:pt idx="69">
                  <c:v>3.3294377989316071</c:v>
                </c:pt>
                <c:pt idx="70">
                  <c:v>3.1807340400835264</c:v>
                </c:pt>
                <c:pt idx="71">
                  <c:v>3.0322595440774189</c:v>
                </c:pt>
                <c:pt idx="72">
                  <c:v>2.8839923758940804</c:v>
                </c:pt>
                <c:pt idx="73">
                  <c:v>2.7359123878443357</c:v>
                </c:pt>
                <c:pt idx="74">
                  <c:v>2.5880010647895388</c:v>
                </c:pt>
                <c:pt idx="75">
                  <c:v>2.4402413840749007</c:v>
                </c:pt>
                <c:pt idx="76">
                  <c:v>2.2926176886375944</c:v>
                </c:pt>
                <c:pt idx="77">
                  <c:v>2.1451155719274859</c:v>
                </c:pt>
                <c:pt idx="78">
                  <c:v>1.9977217734323267</c:v>
                </c:pt>
                <c:pt idx="79">
                  <c:v>1.8504240837344554</c:v>
                </c:pt>
                <c:pt idx="80">
                  <c:v>1.7032112581446353</c:v>
                </c:pt>
                <c:pt idx="81">
                  <c:v>1.556072938063209</c:v>
                </c:pt>
                <c:pt idx="82">
                  <c:v>1.4089995793106764</c:v>
                </c:pt>
                <c:pt idx="83">
                  <c:v>1.2619823867510571</c:v>
                </c:pt>
                <c:pt idx="84">
                  <c:v>1.1150132546031271</c:v>
                </c:pt>
                <c:pt idx="85">
                  <c:v>0.96808471189810785</c:v>
                </c:pt>
                <c:pt idx="86">
                  <c:v>0.82118987259864906</c:v>
                </c:pt>
                <c:pt idx="87">
                  <c:v>0.67432238994385874</c:v>
                </c:pt>
                <c:pt idx="88">
                  <c:v>0.52747641462943251</c:v>
                </c:pt>
                <c:pt idx="89">
                  <c:v>0.38064655647143697</c:v>
                </c:pt>
                <c:pt idx="90">
                  <c:v>0.23382784923735181</c:v>
                </c:pt>
                <c:pt idx="91">
                  <c:v>8.7015718359325173E-2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UI!$AX$2</c:f>
              <c:strCache>
                <c:ptCount val="1"/>
                <c:pt idx="0">
                  <c:v>Moons-MS17HA2P4200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3.0345869872701563</c:v>
                </c:pt>
                <c:pt idx="1">
                  <c:v>3.381173974540312</c:v>
                </c:pt>
                <c:pt idx="2">
                  <c:v>3.7277609618104672</c:v>
                </c:pt>
                <c:pt idx="3">
                  <c:v>4.0743479490806234</c:v>
                </c:pt>
                <c:pt idx="4">
                  <c:v>4.4209349363507782</c:v>
                </c:pt>
                <c:pt idx="5">
                  <c:v>4.7675219236209347</c:v>
                </c:pt>
                <c:pt idx="6">
                  <c:v>5.1141089108910904</c:v>
                </c:pt>
                <c:pt idx="7">
                  <c:v>5.4606958981612452</c:v>
                </c:pt>
                <c:pt idx="8">
                  <c:v>5.8072828854314018</c:v>
                </c:pt>
                <c:pt idx="9">
                  <c:v>6.1538698727015566</c:v>
                </c:pt>
                <c:pt idx="10">
                  <c:v>6.5004568599717123</c:v>
                </c:pt>
                <c:pt idx="11">
                  <c:v>6.847043847241868</c:v>
                </c:pt>
                <c:pt idx="12">
                  <c:v>7.1936308345120246</c:v>
                </c:pt>
                <c:pt idx="13">
                  <c:v>7.5402178217821785</c:v>
                </c:pt>
                <c:pt idx="14">
                  <c:v>7.8868048090523351</c:v>
                </c:pt>
                <c:pt idx="15">
                  <c:v>8.2333917963224916</c:v>
                </c:pt>
                <c:pt idx="16">
                  <c:v>8.5799787835926455</c:v>
                </c:pt>
                <c:pt idx="17">
                  <c:v>8.9265657708628012</c:v>
                </c:pt>
                <c:pt idx="18">
                  <c:v>9.2731527581329569</c:v>
                </c:pt>
                <c:pt idx="19">
                  <c:v>9.6197397454031126</c:v>
                </c:pt>
                <c:pt idx="20">
                  <c:v>9.9663267326732701</c:v>
                </c:pt>
                <c:pt idx="21">
                  <c:v>10.312913719943424</c:v>
                </c:pt>
                <c:pt idx="22">
                  <c:v>10.65950070721358</c:v>
                </c:pt>
                <c:pt idx="23">
                  <c:v>11.006087694483737</c:v>
                </c:pt>
                <c:pt idx="24">
                  <c:v>10.854994299476441</c:v>
                </c:pt>
                <c:pt idx="25">
                  <c:v>10.558464930810109</c:v>
                </c:pt>
                <c:pt idx="26">
                  <c:v>10.284574618536237</c:v>
                </c:pt>
                <c:pt idx="27">
                  <c:v>10.030160365332074</c:v>
                </c:pt>
                <c:pt idx="28">
                  <c:v>9.7925767556635908</c:v>
                </c:pt>
                <c:pt idx="29">
                  <c:v>9.5695989215624397</c:v>
                </c:pt>
                <c:pt idx="30">
                  <c:v>9.3593459323821939</c:v>
                </c:pt>
                <c:pt idx="31">
                  <c:v>9.1602198607854035</c:v>
                </c:pt>
                <c:pt idx="32">
                  <c:v>8.9708569801845304</c:v>
                </c:pt>
                <c:pt idx="33">
                  <c:v>8.7900884231036507</c:v>
                </c:pt>
                <c:pt idx="34">
                  <c:v>8.616908271487203</c:v>
                </c:pt>
                <c:pt idx="35">
                  <c:v>8.4504475251127378</c:v>
                </c:pt>
                <c:pt idx="36">
                  <c:v>8.2899527491836089</c:v>
                </c:pt>
                <c:pt idx="37">
                  <c:v>8.1347684694611786</c:v>
                </c:pt>
                <c:pt idx="38">
                  <c:v>7.9843225861334979</c:v>
                </c:pt>
                <c:pt idx="39">
                  <c:v>7.8381142326693887</c:v>
                </c:pt>
                <c:pt idx="40">
                  <c:v>7.6957036252489601</c:v>
                </c:pt>
                <c:pt idx="41">
                  <c:v>7.5567035408205694</c:v>
                </c:pt>
                <c:pt idx="42">
                  <c:v>7.4207721339109591</c:v>
                </c:pt>
                <c:pt idx="43">
                  <c:v>7.2876068588364769</c:v>
                </c:pt>
                <c:pt idx="44">
                  <c:v>7.1569393085355797</c:v>
                </c:pt>
                <c:pt idx="45">
                  <c:v>7.0285308165816804</c:v>
                </c:pt>
                <c:pt idx="46">
                  <c:v>6.9021686970975198</c:v>
                </c:pt>
                <c:pt idx="47">
                  <c:v>6.7776630198450034</c:v>
                </c:pt>
                <c:pt idx="48">
                  <c:v>6.6548438359103192</c:v>
                </c:pt>
                <c:pt idx="49">
                  <c:v>6.533558784069549</c:v>
                </c:pt>
                <c:pt idx="50">
                  <c:v>6.4136710198238704</c:v>
                </c:pt>
                <c:pt idx="51">
                  <c:v>6.2950574187955217</c:v>
                </c:pt>
                <c:pt idx="52">
                  <c:v>6.1776070141148303</c:v>
                </c:pt>
                <c:pt idx="53">
                  <c:v>6.0612196339497553</c:v>
                </c:pt>
                <c:pt idx="54">
                  <c:v>5.9458047107055583</c:v>
                </c:pt>
                <c:pt idx="55">
                  <c:v>5.8312802378700788</c:v>
                </c:pt>
                <c:pt idx="56">
                  <c:v>5.7175718541724025</c:v>
                </c:pt>
                <c:pt idx="57">
                  <c:v>5.6046120377979021</c:v>
                </c:pt>
                <c:pt idx="58">
                  <c:v>5.4923393959719879</c:v>
                </c:pt>
                <c:pt idx="59">
                  <c:v>5.3806980373779982</c:v>
                </c:pt>
                <c:pt idx="60">
                  <c:v>5.2696370166845057</c:v>
                </c:pt>
                <c:pt idx="61">
                  <c:v>5.1591098419827226</c:v>
                </c:pt>
                <c:pt idx="62">
                  <c:v>5.0490740372240399</c:v>
                </c:pt>
                <c:pt idx="63">
                  <c:v>4.9394907528403866</c:v>
                </c:pt>
                <c:pt idx="64">
                  <c:v>4.8303244186585239</c:v>
                </c:pt>
                <c:pt idx="65">
                  <c:v>4.7215424340101038</c:v>
                </c:pt>
                <c:pt idx="66">
                  <c:v>4.6131148906145283</c:v>
                </c:pt>
                <c:pt idx="67">
                  <c:v>4.5050143243894798</c:v>
                </c:pt>
                <c:pt idx="68">
                  <c:v>4.3972154928396101</c:v>
                </c:pt>
                <c:pt idx="69">
                  <c:v>4.2896951750999834</c:v>
                </c:pt>
                <c:pt idx="70">
                  <c:v>4.1824319920779178</c:v>
                </c:pt>
                <c:pt idx="71">
                  <c:v>4.0754062444537533</c:v>
                </c:pt>
                <c:pt idx="72">
                  <c:v>3.9685997665751835</c:v>
                </c:pt>
                <c:pt idx="73">
                  <c:v>3.8619957945173526</c:v>
                </c:pt>
                <c:pt idx="74">
                  <c:v>3.7555788467872402</c:v>
                </c:pt>
                <c:pt idx="75">
                  <c:v>3.6493346163302962</c:v>
                </c:pt>
                <c:pt idx="76">
                  <c:v>3.5432498726537349</c:v>
                </c:pt>
                <c:pt idx="77">
                  <c:v>3.4373123730174764</c:v>
                </c:pt>
                <c:pt idx="78">
                  <c:v>3.3315107817630865</c:v>
                </c:pt>
                <c:pt idx="79">
                  <c:v>3.2258345969558038</c:v>
                </c:pt>
                <c:pt idx="80">
                  <c:v>3.1202740836064367</c:v>
                </c:pt>
                <c:pt idx="81">
                  <c:v>3.0148202128206729</c:v>
                </c:pt>
                <c:pt idx="82">
                  <c:v>2.9094646062942875</c:v>
                </c:pt>
                <c:pt idx="83">
                  <c:v>2.8041994856354027</c:v>
                </c:pt>
                <c:pt idx="84">
                  <c:v>2.6990176260501393</c:v>
                </c:pt>
                <c:pt idx="85">
                  <c:v>2.5939123139768974</c:v>
                </c:pt>
                <c:pt idx="86">
                  <c:v>2.4888773082977451</c:v>
                </c:pt>
                <c:pt idx="87">
                  <c:v>2.3839068047937007</c:v>
                </c:pt>
                <c:pt idx="88">
                  <c:v>2.2789954035447715</c:v>
                </c:pt>
                <c:pt idx="89">
                  <c:v>2.1741380790058065</c:v>
                </c:pt>
                <c:pt idx="90">
                  <c:v>2.0693301525161889</c:v>
                </c:pt>
                <c:pt idx="91">
                  <c:v>1.9645672670253465</c:v>
                </c:pt>
                <c:pt idx="92">
                  <c:v>1.8598453638374615</c:v>
                </c:pt>
                <c:pt idx="93">
                  <c:v>1.7551606611978776</c:v>
                </c:pt>
                <c:pt idx="94">
                  <c:v>1.6505096345608079</c:v>
                </c:pt>
                <c:pt idx="95">
                  <c:v>1.5458889983931947</c:v>
                </c:pt>
                <c:pt idx="96">
                  <c:v>1.4412956893833639</c:v>
                </c:pt>
                <c:pt idx="97">
                  <c:v>1.3367268509353414</c:v>
                </c:pt>
                <c:pt idx="98">
                  <c:v>1.2321798188408009</c:v>
                </c:pt>
                <c:pt idx="99">
                  <c:v>1.1276521080305189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UI!$AY$2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3.1270396039603967</c:v>
                </c:pt>
                <c:pt idx="1">
                  <c:v>3.4380792079207922</c:v>
                </c:pt>
                <c:pt idx="2">
                  <c:v>3.7491188118811887</c:v>
                </c:pt>
                <c:pt idx="3">
                  <c:v>4.0601584158415847</c:v>
                </c:pt>
                <c:pt idx="4">
                  <c:v>4.3711980198019811</c:v>
                </c:pt>
                <c:pt idx="5">
                  <c:v>4.6822376237623775</c:v>
                </c:pt>
                <c:pt idx="6">
                  <c:v>4.993277227722773</c:v>
                </c:pt>
                <c:pt idx="7">
                  <c:v>5.3043168316831695</c:v>
                </c:pt>
                <c:pt idx="8">
                  <c:v>5.6153564356435659</c:v>
                </c:pt>
                <c:pt idx="9">
                  <c:v>5.9263960396039614</c:v>
                </c:pt>
                <c:pt idx="10">
                  <c:v>6.237435643564357</c:v>
                </c:pt>
                <c:pt idx="11">
                  <c:v>6.5484752475247534</c:v>
                </c:pt>
                <c:pt idx="12">
                  <c:v>6.8595148514851507</c:v>
                </c:pt>
                <c:pt idx="13">
                  <c:v>7.1705544554455463</c:v>
                </c:pt>
                <c:pt idx="14">
                  <c:v>7.4815940594059418</c:v>
                </c:pt>
                <c:pt idx="15">
                  <c:v>7.7926336633663373</c:v>
                </c:pt>
                <c:pt idx="16">
                  <c:v>8.1036732673267338</c:v>
                </c:pt>
                <c:pt idx="17">
                  <c:v>8.4147128712871311</c:v>
                </c:pt>
                <c:pt idx="18">
                  <c:v>8.7257524752475266</c:v>
                </c:pt>
                <c:pt idx="19">
                  <c:v>9.0367920792079222</c:v>
                </c:pt>
                <c:pt idx="20">
                  <c:v>9.3478316831683177</c:v>
                </c:pt>
                <c:pt idx="21">
                  <c:v>9.6588712871287132</c:v>
                </c:pt>
                <c:pt idx="22">
                  <c:v>9.9699108910891123</c:v>
                </c:pt>
                <c:pt idx="23">
                  <c:v>10.280950495049508</c:v>
                </c:pt>
                <c:pt idx="24">
                  <c:v>10.445175753975782</c:v>
                </c:pt>
                <c:pt idx="25">
                  <c:v>10.152051435743843</c:v>
                </c:pt>
                <c:pt idx="26">
                  <c:v>9.8829704405665222</c:v>
                </c:pt>
                <c:pt idx="27">
                  <c:v>9.6346169419109042</c:v>
                </c:pt>
                <c:pt idx="28">
                  <c:v>9.4042130796318784</c:v>
                </c:pt>
                <c:pt idx="29">
                  <c:v>9.1894187644790044</c:v>
                </c:pt>
                <c:pt idx="30">
                  <c:v>8.9882524567218685</c:v>
                </c:pt>
                <c:pt idx="31">
                  <c:v>8.7990280666147918</c:v>
                </c:pt>
                <c:pt idx="32">
                  <c:v>8.6203043485564077</c:v>
                </c:pt>
                <c:pt idx="33">
                  <c:v>8.4508440517590344</c:v>
                </c:pt>
                <c:pt idx="34">
                  <c:v>8.2895807450060399</c:v>
                </c:pt>
                <c:pt idx="35">
                  <c:v>8.1355917186504527</c:v>
                </c:pt>
                <c:pt idx="36">
                  <c:v>7.9880757302061784</c:v>
                </c:pt>
                <c:pt idx="37">
                  <c:v>7.8463346337483237</c:v>
                </c:pt>
                <c:pt idx="38">
                  <c:v>7.7097581414240901</c:v>
                </c:pt>
                <c:pt idx="39">
                  <c:v>7.5778111246265718</c:v>
                </c:pt>
                <c:pt idx="40">
                  <c:v>7.4500229850970197</c:v>
                </c:pt>
                <c:pt idx="41">
                  <c:v>7.325978721396627</c:v>
                </c:pt>
                <c:pt idx="42">
                  <c:v>7.2053113904626898</c:v>
                </c:pt>
                <c:pt idx="43">
                  <c:v>7.0876957222683723</c:v>
                </c:pt>
                <c:pt idx="44">
                  <c:v>6.9728426916304729</c:v>
                </c:pt>
                <c:pt idx="45">
                  <c:v>6.8604948877361549</c:v>
                </c:pt>
                <c:pt idx="46">
                  <c:v>6.7504225510961078</c:v>
                </c:pt>
                <c:pt idx="47">
                  <c:v>6.6424201709867567</c:v>
                </c:pt>
                <c:pt idx="48">
                  <c:v>6.5363035552526432</c:v>
                </c:pt>
                <c:pt idx="49">
                  <c:v>6.4319072995547799</c:v>
                </c:pt>
                <c:pt idx="50">
                  <c:v>6.329082595511367</c:v>
                </c:pt>
                <c:pt idx="51">
                  <c:v>6.2276953272602915</c:v>
                </c:pt>
                <c:pt idx="52">
                  <c:v>6.1276244142305769</c:v>
                </c:pt>
                <c:pt idx="53">
                  <c:v>6.0287603646986545</c:v>
                </c:pt>
                <c:pt idx="54">
                  <c:v>5.9310040103064265</c:v>
                </c:pt>
                <c:pt idx="55">
                  <c:v>5.8342653963560389</c:v>
                </c:pt>
                <c:pt idx="56">
                  <c:v>5.7384628065492125</c:v>
                </c:pt>
                <c:pt idx="57">
                  <c:v>5.6435219040506963</c:v>
                </c:pt>
                <c:pt idx="58">
                  <c:v>5.5493749734406785</c:v>
                </c:pt>
                <c:pt idx="59">
                  <c:v>5.4559602503731881</c:v>
                </c:pt>
                <c:pt idx="60">
                  <c:v>5.363221327651873</c:v>
                </c:pt>
                <c:pt idx="61">
                  <c:v>5.2711066280325385</c:v>
                </c:pt>
                <c:pt idx="62">
                  <c:v>5.1795689354134486</c:v>
                </c:pt>
                <c:pt idx="63">
                  <c:v>5.0885649772207078</c:v>
                </c:pt>
                <c:pt idx="64">
                  <c:v>4.9980550517706988</c:v>
                </c:pt>
                <c:pt idx="65">
                  <c:v>4.9080026952223577</c:v>
                </c:pt>
                <c:pt idx="66">
                  <c:v>4.8183743834418999</c:v>
                </c:pt>
                <c:pt idx="67">
                  <c:v>4.7291392647105699</c:v>
                </c:pt>
                <c:pt idx="68">
                  <c:v>4.6402689197278058</c:v>
                </c:pt>
                <c:pt idx="69">
                  <c:v>4.5517371458111615</c:v>
                </c:pt>
                <c:pt idx="70">
                  <c:v>4.4635197625812832</c:v>
                </c:pt>
                <c:pt idx="71">
                  <c:v>4.3755944367546187</c:v>
                </c:pt>
                <c:pt idx="72">
                  <c:v>4.2879405239558936</c:v>
                </c:pt>
                <c:pt idx="73">
                  <c:v>4.2005389257134187</c:v>
                </c:pt>
                <c:pt idx="74">
                  <c:v>4.1133719600183758</c:v>
                </c:pt>
                <c:pt idx="75">
                  <c:v>4.0264232440191225</c:v>
                </c:pt>
                <c:pt idx="76">
                  <c:v>3.9396775875871501</c:v>
                </c:pt>
                <c:pt idx="77">
                  <c:v>3.8531208966360158</c:v>
                </c:pt>
                <c:pt idx="78">
                  <c:v>3.7667400852011439</c:v>
                </c:pt>
                <c:pt idx="79">
                  <c:v>3.6805229953994543</c:v>
                </c:pt>
                <c:pt idx="80">
                  <c:v>3.5944583244851587</c:v>
                </c:pt>
                <c:pt idx="81">
                  <c:v>3.508535558303806</c:v>
                </c:pt>
                <c:pt idx="82">
                  <c:v>3.4227449105221281</c:v>
                </c:pt>
                <c:pt idx="83">
                  <c:v>3.3370772670778202</c:v>
                </c:pt>
                <c:pt idx="84">
                  <c:v>3.2515241353522226</c:v>
                </c:pt>
                <c:pt idx="85">
                  <c:v>3.1660775976208551</c:v>
                </c:pt>
                <c:pt idx="86">
                  <c:v>3.0807302683829141</c:v>
                </c:pt>
                <c:pt idx="87">
                  <c:v>2.9954752552116917</c:v>
                </c:pt>
                <c:pt idx="88">
                  <c:v>2.9103061228041791</c:v>
                </c:pt>
                <c:pt idx="89">
                  <c:v>2.8252168599404781</c:v>
                </c:pt>
                <c:pt idx="90">
                  <c:v>2.7402018490923412</c:v>
                </c:pt>
                <c:pt idx="91">
                  <c:v>2.6552558384458758</c:v>
                </c:pt>
                <c:pt idx="92">
                  <c:v>2.5703739161262971</c:v>
                </c:pt>
                <c:pt idx="93">
                  <c:v>2.4855514864330956</c:v>
                </c:pt>
                <c:pt idx="94">
                  <c:v>2.4007842479123327</c:v>
                </c:pt>
                <c:pt idx="95">
                  <c:v>2.3160681731091097</c:v>
                </c:pt>
                <c:pt idx="96">
                  <c:v>2.2313994898580605</c:v>
                </c:pt>
                <c:pt idx="97">
                  <c:v>2.1467746639828378</c:v>
                </c:pt>
                <c:pt idx="98">
                  <c:v>2.0621903832875073</c:v>
                </c:pt>
                <c:pt idx="99">
                  <c:v>1.977643542733414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UI!$AZ$2</c:f>
              <c:strCache>
                <c:ptCount val="1"/>
                <c:pt idx="0">
                  <c:v>LDO-42STH38-1684MAC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3.2678549940594062</c:v>
                </c:pt>
                <c:pt idx="1">
                  <c:v>3.5552555881188126</c:v>
                </c:pt>
                <c:pt idx="2">
                  <c:v>3.8426561821782186</c:v>
                </c:pt>
                <c:pt idx="3">
                  <c:v>4.130056776237625</c:v>
                </c:pt>
                <c:pt idx="4">
                  <c:v>4.4174573702970301</c:v>
                </c:pt>
                <c:pt idx="5">
                  <c:v>4.704857964356437</c:v>
                </c:pt>
                <c:pt idx="6">
                  <c:v>4.9922585584158421</c:v>
                </c:pt>
                <c:pt idx="7">
                  <c:v>5.2796591524752481</c:v>
                </c:pt>
                <c:pt idx="8">
                  <c:v>5.5670597465346541</c:v>
                </c:pt>
                <c:pt idx="9">
                  <c:v>5.854460340594061</c:v>
                </c:pt>
                <c:pt idx="10">
                  <c:v>6.1418609346534669</c:v>
                </c:pt>
                <c:pt idx="11">
                  <c:v>6.429261528712872</c:v>
                </c:pt>
                <c:pt idx="12">
                  <c:v>6.7166621227722789</c:v>
                </c:pt>
                <c:pt idx="13">
                  <c:v>7.0040627168316858</c:v>
                </c:pt>
                <c:pt idx="14">
                  <c:v>7.29146331089109</c:v>
                </c:pt>
                <c:pt idx="15">
                  <c:v>7.5788639049504969</c:v>
                </c:pt>
                <c:pt idx="16">
                  <c:v>7.8662644990099029</c:v>
                </c:pt>
                <c:pt idx="17">
                  <c:v>8.1536650930693089</c:v>
                </c:pt>
                <c:pt idx="18">
                  <c:v>8.4410656871287149</c:v>
                </c:pt>
                <c:pt idx="19">
                  <c:v>8.7284662811881208</c:v>
                </c:pt>
                <c:pt idx="20">
                  <c:v>9.0158668752475268</c:v>
                </c:pt>
                <c:pt idx="21">
                  <c:v>9.3032674693069328</c:v>
                </c:pt>
                <c:pt idx="22">
                  <c:v>9.5906680633663388</c:v>
                </c:pt>
                <c:pt idx="23">
                  <c:v>9.8780686574257448</c:v>
                </c:pt>
                <c:pt idx="24">
                  <c:v>9.8559403964953667</c:v>
                </c:pt>
                <c:pt idx="25">
                  <c:v>9.5554779479070291</c:v>
                </c:pt>
                <c:pt idx="26">
                  <c:v>9.2793450610363344</c:v>
                </c:pt>
                <c:pt idx="27">
                  <c:v>9.0242343296347975</c:v>
                </c:pt>
                <c:pt idx="28">
                  <c:v>8.7873651237733945</c:v>
                </c:pt>
                <c:pt idx="29">
                  <c:v>8.5663874087953324</c:v>
                </c:pt>
                <c:pt idx="30">
                  <c:v>8.3593052934554244</c:v>
                </c:pt>
                <c:pt idx="31">
                  <c:v>8.1644158347441493</c:v>
                </c:pt>
                <c:pt idx="32">
                  <c:v>7.9802597327430558</c:v>
                </c:pt>
                <c:pt idx="33">
                  <c:v>7.805581359634842</c:v>
                </c:pt>
                <c:pt idx="34">
                  <c:v>7.6392961669274753</c:v>
                </c:pt>
                <c:pt idx="35">
                  <c:v>7.4804639627387441</c:v>
                </c:pt>
                <c:pt idx="36">
                  <c:v>7.328266887954638</c:v>
                </c:pt>
                <c:pt idx="37">
                  <c:v>7.1819911756126968</c:v>
                </c:pt>
                <c:pt idx="38">
                  <c:v>7.0410119730681</c:v>
                </c:pt>
                <c:pt idx="39">
                  <c:v>6.9047806566550989</c:v>
                </c:pt>
                <c:pt idx="40">
                  <c:v>6.7728141848178218</c:v>
                </c:pt>
                <c:pt idx="41">
                  <c:v>6.6446861262665005</c:v>
                </c:pt>
                <c:pt idx="42">
                  <c:v>6.5200190707098082</c:v>
                </c:pt>
                <c:pt idx="43">
                  <c:v>6.3984781856724462</c:v>
                </c:pt>
                <c:pt idx="44">
                  <c:v>6.2797657272523946</c:v>
                </c:pt>
                <c:pt idx="45">
                  <c:v>6.1636163479957693</c:v>
                </c:pt>
                <c:pt idx="46">
                  <c:v>6.0497930733433254</c:v>
                </c:pt>
                <c:pt idx="47">
                  <c:v>5.9380838408440368</c:v>
                </c:pt>
                <c:pt idx="48">
                  <c:v>5.8282985147039668</c:v>
                </c:pt>
                <c:pt idx="49">
                  <c:v>5.720266303146138</c:v>
                </c:pt>
                <c:pt idx="50">
                  <c:v>5.6138335182033261</c:v>
                </c:pt>
                <c:pt idx="51">
                  <c:v>5.5088616275014424</c:v>
                </c:pt>
                <c:pt idx="52">
                  <c:v>5.4052255557498441</c:v>
                </c:pt>
                <c:pt idx="53">
                  <c:v>5.3028122003791855</c:v>
                </c:pt>
                <c:pt idx="54">
                  <c:v>5.2015191313289337</c:v>
                </c:pt>
                <c:pt idx="55">
                  <c:v>5.1012534496023267</c:v>
                </c:pt>
                <c:pt idx="56">
                  <c:v>5.0019307830498327</c:v>
                </c:pt>
                <c:pt idx="57">
                  <c:v>4.9034744010522973</c:v>
                </c:pt>
                <c:pt idx="58">
                  <c:v>4.8058144324647145</c:v>
                </c:pt>
                <c:pt idx="59">
                  <c:v>4.708887173441723</c:v>
                </c:pt>
                <c:pt idx="60">
                  <c:v>4.6126344736706786</c:v>
                </c:pt>
                <c:pt idx="61">
                  <c:v>4.5170031911477757</c:v>
                </c:pt>
                <c:pt idx="62">
                  <c:v>4.4219447069964497</c:v>
                </c:pt>
                <c:pt idx="63">
                  <c:v>4.3274144929859615</c:v>
                </c:pt>
                <c:pt idx="64">
                  <c:v>4.233371725394651</c:v>
                </c:pt>
                <c:pt idx="65">
                  <c:v>4.1397789397046978</c:v>
                </c:pt>
                <c:pt idx="66">
                  <c:v>4.0466017213359633</c:v>
                </c:pt>
                <c:pt idx="67">
                  <c:v>3.9538084282446473</c:v>
                </c:pt>
                <c:pt idx="68">
                  <c:v>3.8613699417438112</c:v>
                </c:pt>
                <c:pt idx="69">
                  <c:v>3.7692594423605024</c:v>
                </c:pt>
                <c:pt idx="70">
                  <c:v>3.6774522079392526</c:v>
                </c:pt>
                <c:pt idx="71">
                  <c:v>3.5859254315434193</c:v>
                </c:pt>
                <c:pt idx="72">
                  <c:v>3.4946580570019585</c:v>
                </c:pt>
                <c:pt idx="73">
                  <c:v>3.4036306302063082</c:v>
                </c:pt>
                <c:pt idx="74">
                  <c:v>3.312825164485754</c:v>
                </c:pt>
                <c:pt idx="75">
                  <c:v>3.2222250185844956</c:v>
                </c:pt>
                <c:pt idx="76">
                  <c:v>3.1318147859338876</c:v>
                </c:pt>
                <c:pt idx="77">
                  <c:v>3.0415801940619898</c:v>
                </c:pt>
                <c:pt idx="78">
                  <c:v>2.9515080131130529</c:v>
                </c:pt>
                <c:pt idx="79">
                  <c:v>2.8615859725638084</c:v>
                </c:pt>
                <c:pt idx="80">
                  <c:v>2.771802685323963</c:v>
                </c:pt>
                <c:pt idx="81">
                  <c:v>2.6821475784967812</c:v>
                </c:pt>
                <c:pt idx="82">
                  <c:v>2.5926108301535407</c:v>
                </c:pt>
                <c:pt idx="83">
                  <c:v>2.5031833115444839</c:v>
                </c:pt>
                <c:pt idx="84">
                  <c:v>2.4138565342297733</c:v>
                </c:pt>
                <c:pt idx="85">
                  <c:v>2.3246226016677278</c:v>
                </c:pt>
                <c:pt idx="86">
                  <c:v>2.2354741648454293</c:v>
                </c:pt>
                <c:pt idx="87">
                  <c:v>2.1464043815791323</c:v>
                </c:pt>
                <c:pt idx="88">
                  <c:v>2.0574068791495721</c:v>
                </c:pt>
                <c:pt idx="89">
                  <c:v>1.9684757199708018</c:v>
                </c:pt>
                <c:pt idx="90">
                  <c:v>1.8796053700210364</c:v>
                </c:pt>
                <c:pt idx="91">
                  <c:v>1.7907906697906173</c:v>
                </c:pt>
                <c:pt idx="92">
                  <c:v>1.7020268075260478</c:v>
                </c:pt>
                <c:pt idx="93">
                  <c:v>1.6133092945702794</c:v>
                </c:pt>
                <c:pt idx="94">
                  <c:v>1.5246339426185016</c:v>
                </c:pt>
                <c:pt idx="95">
                  <c:v>1.4359968427257748</c:v>
                </c:pt>
                <c:pt idx="96">
                  <c:v>1.3473943459181352</c:v>
                </c:pt>
                <c:pt idx="97">
                  <c:v>1.2588230452725688</c:v>
                </c:pt>
                <c:pt idx="98">
                  <c:v>1.1702797593436347</c:v>
                </c:pt>
                <c:pt idx="99">
                  <c:v>1.0817615168256387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zoomScale="19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9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A168"/>
  <sheetViews>
    <sheetView tabSelected="1" topLeftCell="A2" workbookViewId="0">
      <selection activeCell="I21" sqref="I21"/>
    </sheetView>
  </sheetViews>
  <sheetFormatPr baseColWidth="10" defaultRowHeight="15" x14ac:dyDescent="0.2"/>
  <cols>
    <col min="2" max="2" width="14.83203125" bestFit="1" customWidth="1"/>
    <col min="3" max="3" width="12.1640625" customWidth="1"/>
    <col min="7" max="7" width="12" bestFit="1" customWidth="1"/>
    <col min="18" max="52" width="5" customWidth="1"/>
  </cols>
  <sheetData>
    <row r="1" spans="2:53" x14ac:dyDescent="0.2">
      <c r="R1" t="str">
        <f>CONCATENATE("Stepper Torque, ",F2)</f>
        <v>Stepper Torque, 24V, 20T, 74k, 500g</v>
      </c>
      <c r="AJ1" t="str">
        <f>CONCATENATE("Stepper Power, ",F2)</f>
        <v>Stepper Power, 24V, 20T, 74k, 500g</v>
      </c>
    </row>
    <row r="2" spans="2:53" ht="166" x14ac:dyDescent="0.2">
      <c r="B2" s="1" t="s">
        <v>3</v>
      </c>
      <c r="C2">
        <v>24</v>
      </c>
      <c r="D2" t="s">
        <v>76</v>
      </c>
      <c r="F2" t="str">
        <f>CONCATENATE(C2, "V, ", C6, "T, ",C9/1000,"k, ", C10, "g")</f>
        <v>24V, 20T, 74k, 500g</v>
      </c>
      <c r="Q2" t="s">
        <v>1</v>
      </c>
      <c r="R2" s="3" t="str">
        <f>C23</f>
        <v>LDO-42STH60-2004AH</v>
      </c>
      <c r="S2" s="3" t="str">
        <f>C24</f>
        <v>Moons-MS17HDBP4100</v>
      </c>
      <c r="T2" s="3" t="str">
        <f>C25</f>
        <v>OMC-17HS19-2004</v>
      </c>
      <c r="U2" s="3" t="str">
        <f>C26</f>
        <v>LDO-42STH60-2004MAC (Railcore)</v>
      </c>
      <c r="V2" s="3" t="str">
        <f>C27</f>
        <v>LDO-42STH48-2004AC (VRN)</v>
      </c>
      <c r="W2" s="3" t="str">
        <f>C28</f>
        <v>LDO-42STH47-1684AC</v>
      </c>
      <c r="X2" s="3" t="str">
        <f>C29</f>
        <v>OMC-17HM19-2004S</v>
      </c>
      <c r="Y2" s="3" t="str">
        <f>C30</f>
        <v>OMC-17HS16-2004S1</v>
      </c>
      <c r="Z2" s="3" t="str">
        <f>C31</f>
        <v>OMC-17HM19-1684S</v>
      </c>
      <c r="AA2" s="3" t="str">
        <f>C32</f>
        <v>Nanotec-ST4209L1704-A</v>
      </c>
      <c r="AB2" s="3" t="str">
        <f>C33</f>
        <v>Motech-MT-1704HSM168RE</v>
      </c>
      <c r="AC2" s="3" t="str">
        <f>C34</f>
        <v>OMC-14HS20-1504S</v>
      </c>
      <c r="AD2" s="3" t="str">
        <f>C35</f>
        <v>LDO-42STH48-1684MAH</v>
      </c>
      <c r="AE2" s="3" t="str">
        <f>C36</f>
        <v>Moons-MS17HA2P4200</v>
      </c>
      <c r="AF2" s="3" t="str">
        <f>C37</f>
        <v>LDO-42STH40-2004MAH(VRN)</v>
      </c>
      <c r="AG2" s="3" t="str">
        <f>C38</f>
        <v>LDO-42STH38-1684MAC</v>
      </c>
      <c r="AH2" s="3" t="s">
        <v>85</v>
      </c>
      <c r="AJ2" t="str">
        <f>Q2</f>
        <v>mm/s</v>
      </c>
      <c r="AK2" s="3" t="str">
        <f t="shared" ref="AK2:AZ2" si="0">R2</f>
        <v>LDO-42STH60-2004AH</v>
      </c>
      <c r="AL2" s="3" t="str">
        <f t="shared" si="0"/>
        <v>Moons-MS17HDBP4100</v>
      </c>
      <c r="AM2" s="3" t="str">
        <f t="shared" si="0"/>
        <v>OMC-17HS19-2004</v>
      </c>
      <c r="AN2" s="3" t="str">
        <f t="shared" si="0"/>
        <v>LDO-42STH60-2004MAC (Railcore)</v>
      </c>
      <c r="AO2" s="3" t="str">
        <f t="shared" si="0"/>
        <v>LDO-42STH48-2004AC (VRN)</v>
      </c>
      <c r="AP2" s="3" t="str">
        <f t="shared" si="0"/>
        <v>LDO-42STH47-1684AC</v>
      </c>
      <c r="AQ2" s="3" t="str">
        <f t="shared" si="0"/>
        <v>OMC-17HM19-2004S</v>
      </c>
      <c r="AR2" s="3" t="str">
        <f t="shared" si="0"/>
        <v>OMC-17HS16-2004S1</v>
      </c>
      <c r="AS2" s="3" t="str">
        <f t="shared" si="0"/>
        <v>OMC-17HM19-1684S</v>
      </c>
      <c r="AT2" s="3" t="str">
        <f t="shared" si="0"/>
        <v>Nanotec-ST4209L1704-A</v>
      </c>
      <c r="AU2" s="3" t="str">
        <f t="shared" si="0"/>
        <v>Motech-MT-1704HSM168RE</v>
      </c>
      <c r="AV2" s="3" t="str">
        <f t="shared" si="0"/>
        <v>OMC-14HS20-1504S</v>
      </c>
      <c r="AW2" s="3" t="str">
        <f t="shared" si="0"/>
        <v>LDO-42STH48-1684MAH</v>
      </c>
      <c r="AX2" s="3" t="str">
        <f t="shared" si="0"/>
        <v>Moons-MS17HA2P4200</v>
      </c>
      <c r="AY2" s="3" t="str">
        <f t="shared" si="0"/>
        <v>LDO-42STH40-2004MAH(VRN)</v>
      </c>
      <c r="AZ2" s="3" t="str">
        <f t="shared" si="0"/>
        <v>LDO-42STH38-1684MAC</v>
      </c>
    </row>
    <row r="3" spans="2:53" x14ac:dyDescent="0.2">
      <c r="B3" s="1" t="s">
        <v>74</v>
      </c>
      <c r="C3">
        <v>2</v>
      </c>
      <c r="D3" t="s">
        <v>75</v>
      </c>
      <c r="P3">
        <v>0.25</v>
      </c>
      <c r="Q3">
        <f>P3*$C$6*2/$C$7</f>
        <v>10</v>
      </c>
      <c r="R3" s="12">
        <f t="shared" ref="R3:R34" si="1">SingleCoilTorque($F$23,$G$23,$H$23,$I$23,$J$23,$K$23,$C$2,$M$23,$P3)-$N$23</f>
        <v>35.272342196639258</v>
      </c>
      <c r="S3" s="12">
        <f t="shared" ref="S3:S34" si="2">SingleCoilTorque($F$24,$G$24,$H$24,$I$24,$J$24,$K$24,$C$2,$M$24,$P3)-$N$24</f>
        <v>32.095822583159247</v>
      </c>
      <c r="T3" s="12">
        <f t="shared" ref="T3:T34" si="3">SingleCoilTorque($F$25,$G$25,$H$25,$I$25,$J$25,$K$25,$C$2,$M$25,$P3)-$N$25</f>
        <v>23.848888794241944</v>
      </c>
      <c r="U3" s="12">
        <f t="shared" ref="U3:U34" si="4">SingleCoilTorque($F$26,$G$26,$H$26,$I$26,$J$26,$K$26,$C$2,$M$26,$P3)-$N$26</f>
        <v>19.318655350734588</v>
      </c>
      <c r="V3" s="12">
        <f t="shared" ref="V3:V34" si="5">SingleCoilTorque($F$27,$G$27,$H$27,$I$27,$J$27,$K$27,$C$2,$M$27,$P3)-$N$27</f>
        <v>22.832562391588816</v>
      </c>
      <c r="W3" s="12">
        <f t="shared" ref="W3:W34" si="6">SingleCoilTorque($F$28,$G$28,$H$28,$I$28,$J$28,$K$28,$C$2,$M$28,$P3)-$N$28</f>
        <v>19.818525160795808</v>
      </c>
      <c r="X3" s="12">
        <f t="shared" ref="X3:X34" si="7">SingleCoilTorque($F$29,$G$29,$H$29,$I$29,$J$29,$K$29,$C$2,$M$29,$P3)-$N$29</f>
        <v>16.493867577834592</v>
      </c>
      <c r="Y3" s="12">
        <f t="shared" ref="Y3:Y34" si="8">SingleCoilTorque($F$30,$G$30,$H$30,$I$30,$J$30,$K$30,$C$2,$M$30,$P3)-$N$30</f>
        <v>19.182786704153049</v>
      </c>
      <c r="Z3" s="12">
        <f t="shared" ref="Z3:Z34" si="9">SingleCoilTorque($F$31,$G$31,$H$31,$I$31,$J$31,$K$31,$C$2,$M$31,$P3)-$N$31</f>
        <v>16.989670846792976</v>
      </c>
      <c r="AA3" s="12">
        <f t="shared" ref="AA3:AA34" si="10">SingleCoilTorque($F$32,$G$32,$H$32,$I$32,$J$32,$K$32,$C$2,$M$32,$P3)-$N$32</f>
        <v>16.989670846792976</v>
      </c>
      <c r="AB3" s="12">
        <f t="shared" ref="AB3:AB34" si="11">SingleCoilTorque($F$33,$G$33,$H$33,$I$33,$J$33,$K$33,$C$2,$M$33,$P3)-$N$33</f>
        <v>16.491792487528478</v>
      </c>
      <c r="AC3" s="12">
        <f t="shared" ref="AC3:AC34" si="12">SingleCoilTorque($F$34,$G$34,$H$34,$I$34,$J$34,$K$34,$C$2,$M$34,$P3)-$N$34</f>
        <v>16.353932390150227</v>
      </c>
      <c r="AD3" s="12">
        <f t="shared" ref="AD3:AD34" si="13">SingleCoilTorque($F$35,$G$35,$H$35,$I$35,$J$35,$K$35,$C$2,$M$35,$P3)-$N$35</f>
        <v>14.27397070535026</v>
      </c>
      <c r="AE3" s="12">
        <f t="shared" ref="AE3:AE34" si="14">SingleCoilTorque($F$36,$G$36,$H$36,$I$36,$J$36,$K$36,$C$2,$M$36,$P3)-$N$36</f>
        <v>15.439444742801193</v>
      </c>
      <c r="AF3" s="12">
        <f t="shared" ref="AF3:AF34" si="15">SingleCoilTorque($F$37,$G$37,$H$37,$I$37,$J$37,$K$37,$C$2,$M$37,$P3)-$N$37</f>
        <v>11.549016297039415</v>
      </c>
      <c r="AG3" s="12">
        <f t="shared" ref="AG3:AG34" si="16">SingleCoilTorque($F$38,$G$38,$H$38,$I$38,$J$38,$K$38,$C$2,$M$38,$P3)-$N$38</f>
        <v>12.020127581097892</v>
      </c>
      <c r="AH3" s="12">
        <f>$C$11</f>
        <v>23.554931577600509</v>
      </c>
      <c r="AJ3">
        <f>Q3</f>
        <v>10</v>
      </c>
      <c r="AK3" s="12">
        <f t="shared" ref="AK3:AK34" si="17">StepperPower($F$23,$G$23,$H$23,$I$23,$J$23,$K$23,$C$2,$M$23,$P3)</f>
        <v>5.8602742574257434</v>
      </c>
      <c r="AL3" s="12">
        <f t="shared" ref="AL3:AL34" si="18">StepperPower($F$24,$G$24,$H$24,$I$24,$J$24,$K$24,$C$2,$M$24,$P3)</f>
        <v>4.3127213578500703</v>
      </c>
      <c r="AM3" s="12">
        <f t="shared" ref="AM3:AM34" si="19">StepperPower($F$25,$G$25,$H$25,$I$25,$J$25,$K$25,$C$2,$M$25,$P3)</f>
        <v>4.1083239038189534</v>
      </c>
      <c r="AN3" s="12">
        <f t="shared" ref="AN3:AN34" si="20">StepperPower($F$26,$G$26,$H$26,$I$26,$J$26,$K$26,$C$2,$M$26,$P3)</f>
        <v>4.1065465346534653</v>
      </c>
      <c r="AO3" s="12">
        <f t="shared" ref="AO3:AO34" si="21">StepperPower($F$27,$G$27,$H$27,$I$27,$J$27,$K$27,$C$2,$M$27,$P3)</f>
        <v>4.6098374257425752</v>
      </c>
      <c r="AP3" s="12">
        <f t="shared" ref="AP3:AP34" si="22">StepperPower($F$28,$G$28,$H$28,$I$28,$J$28,$K$28,$C$2,$M$28,$P3)</f>
        <v>3.4159098455445545</v>
      </c>
      <c r="AQ3" s="12">
        <f t="shared" ref="AQ3:AQ34" si="23">StepperPower($F$29,$G$29,$H$29,$I$29,$J$29,$K$29,$C$2,$M$29,$P3)</f>
        <v>4.1207949080622344</v>
      </c>
      <c r="AR3" s="12">
        <f t="shared" ref="AR3:AR34" si="24">StepperPower($F$30,$G$30,$H$30,$I$30,$J$30,$K$30,$C$2,$M$30,$P3)</f>
        <v>3.2159080622347953</v>
      </c>
      <c r="AS3" s="12">
        <f t="shared" ref="AS3:AS34" si="25">StepperPower($F$31,$G$31,$H$31,$I$31,$J$31,$K$31,$C$2,$M$31,$P3)</f>
        <v>3.3714756164073552</v>
      </c>
      <c r="AT3" s="12">
        <f t="shared" ref="AT3:AT34" si="26">StepperPower($F$32,$G$32,$H$32,$I$32,$J$32,$K$32,$C$2,$M$32,$P3)</f>
        <v>3.6424260164073554</v>
      </c>
      <c r="AU3" s="12">
        <f t="shared" ref="AU3:AU34" si="27">StepperPower($F$33,$G$33,$H$33,$I$33,$J$33,$K$33,$C$2,$M$33,$P3)</f>
        <v>3.3636551920792082</v>
      </c>
      <c r="AV3" s="12">
        <f t="shared" ref="AV3:AV34" si="28">StepperPower($F$34,$G$34,$H$34,$I$34,$J$34,$K$34,$C$2,$M$34,$P3)</f>
        <v>4.3874738330975962</v>
      </c>
      <c r="AW3" s="12">
        <f t="shared" ref="AW3:AW34" si="29">StepperPower($F$35,$G$35,$H$35,$I$35,$J$35,$K$35,$C$2,$M$35,$P3)</f>
        <v>3.328818756435644</v>
      </c>
      <c r="AX3" s="12">
        <f t="shared" ref="AX3:AX34" si="30">StepperPower($F$36,$G$36,$H$36,$I$36,$J$36,$K$36,$C$2,$M$36,$P3)</f>
        <v>3.0345869872701563</v>
      </c>
      <c r="AY3" s="12">
        <f t="shared" ref="AY3:AY34" si="31">StepperPower($F$37,$G$37,$H$37,$I$37,$J$37,$K$37,$C$2,$M$37,$P3)</f>
        <v>3.1270396039603967</v>
      </c>
      <c r="AZ3" s="12">
        <f t="shared" ref="AZ3:AZ34" si="32">StepperPower($F$38,$G$38,$H$38,$I$38,$J$38,$K$38,$C$2,$M$38,$P3)</f>
        <v>3.2678549940594062</v>
      </c>
      <c r="BA3" s="12"/>
    </row>
    <row r="4" spans="2:53" x14ac:dyDescent="0.2">
      <c r="B4" s="1" t="s">
        <v>77</v>
      </c>
      <c r="C4" s="13">
        <v>0.8</v>
      </c>
      <c r="P4">
        <f>P3+0.25</f>
        <v>0.5</v>
      </c>
      <c r="Q4">
        <f t="shared" ref="Q4:Q67" si="33">P4*$C$6*2/$C$7</f>
        <v>20</v>
      </c>
      <c r="R4" s="12">
        <f t="shared" si="1"/>
        <v>35.272342196639258</v>
      </c>
      <c r="S4" s="12">
        <f t="shared" si="2"/>
        <v>32.095822583159247</v>
      </c>
      <c r="T4" s="12">
        <f t="shared" si="3"/>
        <v>23.848888794241944</v>
      </c>
      <c r="U4" s="12">
        <f t="shared" si="4"/>
        <v>19.318655350734588</v>
      </c>
      <c r="V4" s="12">
        <f t="shared" si="5"/>
        <v>22.832562391588816</v>
      </c>
      <c r="W4" s="12">
        <f t="shared" si="6"/>
        <v>19.818525160795808</v>
      </c>
      <c r="X4" s="12">
        <f t="shared" si="7"/>
        <v>16.493867577834592</v>
      </c>
      <c r="Y4" s="12">
        <f t="shared" si="8"/>
        <v>19.182786704153049</v>
      </c>
      <c r="Z4" s="12">
        <f t="shared" si="9"/>
        <v>16.989670846792976</v>
      </c>
      <c r="AA4" s="12">
        <f t="shared" si="10"/>
        <v>16.989670846792976</v>
      </c>
      <c r="AB4" s="12">
        <f t="shared" si="11"/>
        <v>16.491792487528478</v>
      </c>
      <c r="AC4" s="12">
        <f t="shared" si="12"/>
        <v>16.353932390150227</v>
      </c>
      <c r="AD4" s="12">
        <f t="shared" si="13"/>
        <v>14.27397070535026</v>
      </c>
      <c r="AE4" s="12">
        <f t="shared" si="14"/>
        <v>15.439444742801193</v>
      </c>
      <c r="AF4" s="12">
        <f t="shared" si="15"/>
        <v>11.549016297039415</v>
      </c>
      <c r="AG4" s="12">
        <f t="shared" si="16"/>
        <v>12.020127581097892</v>
      </c>
      <c r="AH4" s="12">
        <f t="shared" ref="AH4:AH67" si="34">$C$11</f>
        <v>23.554931577600509</v>
      </c>
      <c r="AJ4">
        <f t="shared" ref="AJ4:AJ67" si="35">Q4</f>
        <v>20</v>
      </c>
      <c r="AK4" s="12">
        <f t="shared" si="17"/>
        <v>6.6005485148514857</v>
      </c>
      <c r="AL4" s="12">
        <f t="shared" si="18"/>
        <v>5.0414427157001418</v>
      </c>
      <c r="AM4" s="12">
        <f t="shared" si="19"/>
        <v>4.6326478076379063</v>
      </c>
      <c r="AN4" s="12">
        <f t="shared" si="20"/>
        <v>4.629093069306931</v>
      </c>
      <c r="AO4" s="12">
        <f t="shared" si="21"/>
        <v>5.1236748514851502</v>
      </c>
      <c r="AP4" s="12">
        <f t="shared" si="22"/>
        <v>3.8513652910891087</v>
      </c>
      <c r="AQ4" s="12">
        <f t="shared" si="23"/>
        <v>4.5295898161244699</v>
      </c>
      <c r="AR4" s="12">
        <f t="shared" si="24"/>
        <v>3.6158161244695908</v>
      </c>
      <c r="AS4" s="12">
        <f t="shared" si="25"/>
        <v>3.7624968328147106</v>
      </c>
      <c r="AT4" s="12">
        <f t="shared" si="26"/>
        <v>4.0334472328147104</v>
      </c>
      <c r="AU4" s="12">
        <f t="shared" si="27"/>
        <v>3.7468559841584161</v>
      </c>
      <c r="AV4" s="12">
        <f t="shared" si="28"/>
        <v>4.7429476661951924</v>
      </c>
      <c r="AW4" s="12">
        <f t="shared" si="29"/>
        <v>3.6771831128712873</v>
      </c>
      <c r="AX4" s="12">
        <f t="shared" si="30"/>
        <v>3.381173974540312</v>
      </c>
      <c r="AY4" s="12">
        <f t="shared" si="31"/>
        <v>3.4380792079207922</v>
      </c>
      <c r="AZ4" s="12">
        <f t="shared" si="32"/>
        <v>3.5552555881188126</v>
      </c>
      <c r="BA4" s="12"/>
    </row>
    <row r="5" spans="2:53" x14ac:dyDescent="0.2">
      <c r="B5" s="1"/>
      <c r="P5">
        <f t="shared" ref="P5:P68" si="36">P4+0.25</f>
        <v>0.75</v>
      </c>
      <c r="Q5">
        <f t="shared" si="33"/>
        <v>30</v>
      </c>
      <c r="R5" s="12">
        <f t="shared" si="1"/>
        <v>35.272342196639258</v>
      </c>
      <c r="S5" s="12">
        <f t="shared" si="2"/>
        <v>32.095822583159247</v>
      </c>
      <c r="T5" s="12">
        <f t="shared" si="3"/>
        <v>23.848888794241944</v>
      </c>
      <c r="U5" s="12">
        <f t="shared" si="4"/>
        <v>19.318655350734588</v>
      </c>
      <c r="V5" s="12">
        <f t="shared" si="5"/>
        <v>22.832562391588816</v>
      </c>
      <c r="W5" s="12">
        <f t="shared" si="6"/>
        <v>19.818525160795808</v>
      </c>
      <c r="X5" s="12">
        <f t="shared" si="7"/>
        <v>16.493867577834592</v>
      </c>
      <c r="Y5" s="12">
        <f t="shared" si="8"/>
        <v>19.182786704153049</v>
      </c>
      <c r="Z5" s="12">
        <f t="shared" si="9"/>
        <v>16.989670846792976</v>
      </c>
      <c r="AA5" s="12">
        <f t="shared" si="10"/>
        <v>16.989670846792976</v>
      </c>
      <c r="AB5" s="12">
        <f t="shared" si="11"/>
        <v>16.491792487528478</v>
      </c>
      <c r="AC5" s="12">
        <f t="shared" si="12"/>
        <v>16.353932390150227</v>
      </c>
      <c r="AD5" s="12">
        <f t="shared" si="13"/>
        <v>14.27397070535026</v>
      </c>
      <c r="AE5" s="12">
        <f t="shared" si="14"/>
        <v>15.439444742801193</v>
      </c>
      <c r="AF5" s="12">
        <f t="shared" si="15"/>
        <v>11.549016297039415</v>
      </c>
      <c r="AG5" s="12">
        <f t="shared" si="16"/>
        <v>12.020127581097892</v>
      </c>
      <c r="AH5" s="12">
        <f t="shared" si="34"/>
        <v>23.554931577600509</v>
      </c>
      <c r="AJ5">
        <f t="shared" si="35"/>
        <v>30</v>
      </c>
      <c r="AK5" s="12">
        <f t="shared" si="17"/>
        <v>7.3408227722772281</v>
      </c>
      <c r="AL5" s="12">
        <f t="shared" si="18"/>
        <v>5.7701640735502124</v>
      </c>
      <c r="AM5" s="12">
        <f t="shared" si="19"/>
        <v>5.1569717114568601</v>
      </c>
      <c r="AN5" s="12">
        <f t="shared" si="20"/>
        <v>5.1516396039603967</v>
      </c>
      <c r="AO5" s="12">
        <f t="shared" si="21"/>
        <v>5.6375122772277244</v>
      </c>
      <c r="AP5" s="12">
        <f t="shared" si="22"/>
        <v>4.2868207366336639</v>
      </c>
      <c r="AQ5" s="12">
        <f t="shared" si="23"/>
        <v>4.9383847241867045</v>
      </c>
      <c r="AR5" s="12">
        <f t="shared" si="24"/>
        <v>4.0157241867043849</v>
      </c>
      <c r="AS5" s="12">
        <f t="shared" si="25"/>
        <v>4.1535180492220656</v>
      </c>
      <c r="AT5" s="12">
        <f t="shared" si="26"/>
        <v>4.4244684492220658</v>
      </c>
      <c r="AU5" s="12">
        <f t="shared" si="27"/>
        <v>4.130056776237625</v>
      </c>
      <c r="AV5" s="12">
        <f t="shared" si="28"/>
        <v>5.0984214992927877</v>
      </c>
      <c r="AW5" s="12">
        <f t="shared" si="29"/>
        <v>4.0255474693069306</v>
      </c>
      <c r="AX5" s="12">
        <f t="shared" si="30"/>
        <v>3.7277609618104672</v>
      </c>
      <c r="AY5" s="12">
        <f t="shared" si="31"/>
        <v>3.7491188118811887</v>
      </c>
      <c r="AZ5" s="12">
        <f t="shared" si="32"/>
        <v>3.8426561821782186</v>
      </c>
      <c r="BA5" s="12"/>
    </row>
    <row r="6" spans="2:53" x14ac:dyDescent="0.2">
      <c r="B6" s="1" t="s">
        <v>4</v>
      </c>
      <c r="C6">
        <v>20</v>
      </c>
      <c r="D6" t="s">
        <v>78</v>
      </c>
      <c r="E6">
        <f>C6*2/(2*PI())</f>
        <v>6.366197723675814</v>
      </c>
      <c r="F6" t="s">
        <v>21</v>
      </c>
      <c r="P6">
        <f t="shared" si="36"/>
        <v>1</v>
      </c>
      <c r="Q6">
        <f t="shared" si="33"/>
        <v>40</v>
      </c>
      <c r="R6" s="12">
        <f t="shared" si="1"/>
        <v>35.272342196639258</v>
      </c>
      <c r="S6" s="12">
        <f t="shared" si="2"/>
        <v>32.095822583159247</v>
      </c>
      <c r="T6" s="12">
        <f t="shared" si="3"/>
        <v>23.848888794241944</v>
      </c>
      <c r="U6" s="12">
        <f t="shared" si="4"/>
        <v>19.318655350734588</v>
      </c>
      <c r="V6" s="12">
        <f t="shared" si="5"/>
        <v>22.832562391588816</v>
      </c>
      <c r="W6" s="12">
        <f t="shared" si="6"/>
        <v>19.818525160795808</v>
      </c>
      <c r="X6" s="12">
        <f t="shared" si="7"/>
        <v>16.493867577834592</v>
      </c>
      <c r="Y6" s="12">
        <f t="shared" si="8"/>
        <v>19.182786704153049</v>
      </c>
      <c r="Z6" s="12">
        <f t="shared" si="9"/>
        <v>16.989670846792976</v>
      </c>
      <c r="AA6" s="12">
        <f t="shared" si="10"/>
        <v>16.989670846792976</v>
      </c>
      <c r="AB6" s="12">
        <f t="shared" si="11"/>
        <v>16.491792487528478</v>
      </c>
      <c r="AC6" s="12">
        <f t="shared" si="12"/>
        <v>16.353932390150227</v>
      </c>
      <c r="AD6" s="12">
        <f t="shared" si="13"/>
        <v>14.27397070535026</v>
      </c>
      <c r="AE6" s="12">
        <f t="shared" si="14"/>
        <v>15.439444742801193</v>
      </c>
      <c r="AF6" s="12">
        <f t="shared" si="15"/>
        <v>11.549016297039415</v>
      </c>
      <c r="AG6" s="12">
        <f t="shared" si="16"/>
        <v>12.020127581097892</v>
      </c>
      <c r="AH6" s="12">
        <f t="shared" si="34"/>
        <v>23.554931577600509</v>
      </c>
      <c r="AJ6">
        <f t="shared" si="35"/>
        <v>40</v>
      </c>
      <c r="AK6" s="12">
        <f t="shared" si="17"/>
        <v>8.0810970297029723</v>
      </c>
      <c r="AL6" s="12">
        <f t="shared" si="18"/>
        <v>6.4988854314002822</v>
      </c>
      <c r="AM6" s="12">
        <f t="shared" si="19"/>
        <v>5.6812956152758138</v>
      </c>
      <c r="AN6" s="12">
        <f t="shared" si="20"/>
        <v>5.6741861386138615</v>
      </c>
      <c r="AO6" s="12">
        <f t="shared" si="21"/>
        <v>6.1513497029702986</v>
      </c>
      <c r="AP6" s="12">
        <f t="shared" si="22"/>
        <v>4.7222761821782182</v>
      </c>
      <c r="AQ6" s="12">
        <f t="shared" si="23"/>
        <v>5.3471796322489391</v>
      </c>
      <c r="AR6" s="12">
        <f t="shared" si="24"/>
        <v>4.4156322489391799</v>
      </c>
      <c r="AS6" s="12">
        <f t="shared" si="25"/>
        <v>4.544539265629421</v>
      </c>
      <c r="AT6" s="12">
        <f t="shared" si="26"/>
        <v>4.8154896656294204</v>
      </c>
      <c r="AU6" s="12">
        <f t="shared" si="27"/>
        <v>4.5132575683168321</v>
      </c>
      <c r="AV6" s="12">
        <f t="shared" si="28"/>
        <v>5.4538953323903838</v>
      </c>
      <c r="AW6" s="12">
        <f t="shared" si="29"/>
        <v>4.3739118257425744</v>
      </c>
      <c r="AX6" s="12">
        <f t="shared" si="30"/>
        <v>4.0743479490806234</v>
      </c>
      <c r="AY6" s="12">
        <f t="shared" si="31"/>
        <v>4.0601584158415847</v>
      </c>
      <c r="AZ6" s="12">
        <f t="shared" si="32"/>
        <v>4.130056776237625</v>
      </c>
      <c r="BA6" s="12"/>
    </row>
    <row r="7" spans="2:53" x14ac:dyDescent="0.2">
      <c r="B7" s="1" t="s">
        <v>5</v>
      </c>
      <c r="C7">
        <v>1</v>
      </c>
      <c r="P7">
        <f t="shared" si="36"/>
        <v>1.25</v>
      </c>
      <c r="Q7">
        <f t="shared" si="33"/>
        <v>50</v>
      </c>
      <c r="R7" s="12">
        <f t="shared" si="1"/>
        <v>35.272342196639258</v>
      </c>
      <c r="S7" s="12">
        <f t="shared" si="2"/>
        <v>32.095822583159247</v>
      </c>
      <c r="T7" s="12">
        <f t="shared" si="3"/>
        <v>23.848888794241944</v>
      </c>
      <c r="U7" s="12">
        <f t="shared" si="4"/>
        <v>19.318655350734588</v>
      </c>
      <c r="V7" s="12">
        <f t="shared" si="5"/>
        <v>22.832562391588816</v>
      </c>
      <c r="W7" s="12">
        <f t="shared" si="6"/>
        <v>19.818525160795808</v>
      </c>
      <c r="X7" s="12">
        <f t="shared" si="7"/>
        <v>16.493867577834592</v>
      </c>
      <c r="Y7" s="12">
        <f t="shared" si="8"/>
        <v>19.182786704153049</v>
      </c>
      <c r="Z7" s="12">
        <f t="shared" si="9"/>
        <v>16.989670846792976</v>
      </c>
      <c r="AA7" s="12">
        <f t="shared" si="10"/>
        <v>16.989670846792976</v>
      </c>
      <c r="AB7" s="12">
        <f t="shared" si="11"/>
        <v>16.491792487528478</v>
      </c>
      <c r="AC7" s="12">
        <f t="shared" si="12"/>
        <v>16.353932390150227</v>
      </c>
      <c r="AD7" s="12">
        <f t="shared" si="13"/>
        <v>14.27397070535026</v>
      </c>
      <c r="AE7" s="12">
        <f t="shared" si="14"/>
        <v>15.439444742801193</v>
      </c>
      <c r="AF7" s="12">
        <f t="shared" si="15"/>
        <v>11.549016297039415</v>
      </c>
      <c r="AG7" s="12">
        <f t="shared" si="16"/>
        <v>12.020127581097892</v>
      </c>
      <c r="AH7" s="12">
        <f t="shared" si="34"/>
        <v>23.554931577600509</v>
      </c>
      <c r="AJ7">
        <f t="shared" si="35"/>
        <v>50</v>
      </c>
      <c r="AK7" s="12">
        <f t="shared" si="17"/>
        <v>8.8213712871287147</v>
      </c>
      <c r="AL7" s="12">
        <f t="shared" si="18"/>
        <v>7.2276067892503537</v>
      </c>
      <c r="AM7" s="12">
        <f t="shared" si="19"/>
        <v>6.2056195190947667</v>
      </c>
      <c r="AN7" s="12">
        <f t="shared" si="20"/>
        <v>6.1967326732673271</v>
      </c>
      <c r="AO7" s="12">
        <f t="shared" si="21"/>
        <v>6.6651871287128728</v>
      </c>
      <c r="AP7" s="12">
        <f t="shared" si="22"/>
        <v>5.1577316277227725</v>
      </c>
      <c r="AQ7" s="12">
        <f t="shared" si="23"/>
        <v>5.7559745403111746</v>
      </c>
      <c r="AR7" s="12">
        <f t="shared" si="24"/>
        <v>4.8155403111739759</v>
      </c>
      <c r="AS7" s="12">
        <f t="shared" si="25"/>
        <v>4.9355604820367756</v>
      </c>
      <c r="AT7" s="12">
        <f t="shared" si="26"/>
        <v>5.2065108820367758</v>
      </c>
      <c r="AU7" s="12">
        <f t="shared" si="27"/>
        <v>4.8964583603960401</v>
      </c>
      <c r="AV7" s="12">
        <f t="shared" si="28"/>
        <v>5.8093691654879791</v>
      </c>
      <c r="AW7" s="12">
        <f t="shared" si="29"/>
        <v>4.7222761821782191</v>
      </c>
      <c r="AX7" s="12">
        <f t="shared" si="30"/>
        <v>4.4209349363507782</v>
      </c>
      <c r="AY7" s="12">
        <f t="shared" si="31"/>
        <v>4.3711980198019811</v>
      </c>
      <c r="AZ7" s="12">
        <f t="shared" si="32"/>
        <v>4.4174573702970301</v>
      </c>
      <c r="BA7" s="12"/>
    </row>
    <row r="8" spans="2:53" x14ac:dyDescent="0.2">
      <c r="P8">
        <f t="shared" si="36"/>
        <v>1.5</v>
      </c>
      <c r="Q8">
        <f t="shared" si="33"/>
        <v>60</v>
      </c>
      <c r="R8" s="12">
        <f t="shared" si="1"/>
        <v>35.272342196639258</v>
      </c>
      <c r="S8" s="12">
        <f t="shared" si="2"/>
        <v>32.095822583159247</v>
      </c>
      <c r="T8" s="12">
        <f t="shared" si="3"/>
        <v>23.848888794241944</v>
      </c>
      <c r="U8" s="12">
        <f t="shared" si="4"/>
        <v>19.318655350734588</v>
      </c>
      <c r="V8" s="12">
        <f t="shared" si="5"/>
        <v>22.832562391588816</v>
      </c>
      <c r="W8" s="12">
        <f t="shared" si="6"/>
        <v>19.818525160795808</v>
      </c>
      <c r="X8" s="12">
        <f t="shared" si="7"/>
        <v>16.493867577834592</v>
      </c>
      <c r="Y8" s="12">
        <f t="shared" si="8"/>
        <v>19.182786704153049</v>
      </c>
      <c r="Z8" s="12">
        <f t="shared" si="9"/>
        <v>16.989670846792976</v>
      </c>
      <c r="AA8" s="12">
        <f t="shared" si="10"/>
        <v>16.989670846792976</v>
      </c>
      <c r="AB8" s="12">
        <f t="shared" si="11"/>
        <v>16.491792487528478</v>
      </c>
      <c r="AC8" s="12">
        <f t="shared" si="12"/>
        <v>16.353932390150227</v>
      </c>
      <c r="AD8" s="12">
        <f t="shared" si="13"/>
        <v>14.27397070535026</v>
      </c>
      <c r="AE8" s="12">
        <f t="shared" si="14"/>
        <v>15.439444742801193</v>
      </c>
      <c r="AF8" s="12">
        <f t="shared" si="15"/>
        <v>11.549016297039415</v>
      </c>
      <c r="AG8" s="12">
        <f t="shared" si="16"/>
        <v>12.020127581097892</v>
      </c>
      <c r="AH8" s="12">
        <f t="shared" si="34"/>
        <v>23.554931577600509</v>
      </c>
      <c r="AJ8">
        <f t="shared" si="35"/>
        <v>60</v>
      </c>
      <c r="AK8" s="12">
        <f t="shared" si="17"/>
        <v>9.561645544554457</v>
      </c>
      <c r="AL8" s="12">
        <f t="shared" si="18"/>
        <v>7.9563281471004252</v>
      </c>
      <c r="AM8" s="12">
        <f t="shared" si="19"/>
        <v>6.7299434229137205</v>
      </c>
      <c r="AN8" s="12">
        <f t="shared" si="20"/>
        <v>6.7192792079207919</v>
      </c>
      <c r="AO8" s="12">
        <f t="shared" si="21"/>
        <v>7.179024554455447</v>
      </c>
      <c r="AP8" s="12">
        <f t="shared" si="22"/>
        <v>5.5931870732673277</v>
      </c>
      <c r="AQ8" s="12">
        <f t="shared" si="23"/>
        <v>6.1647694483734092</v>
      </c>
      <c r="AR8" s="12">
        <f t="shared" si="24"/>
        <v>5.2154483734087709</v>
      </c>
      <c r="AS8" s="12">
        <f t="shared" si="25"/>
        <v>5.326581698444131</v>
      </c>
      <c r="AT8" s="12">
        <f t="shared" si="26"/>
        <v>5.5975320984441312</v>
      </c>
      <c r="AU8" s="12">
        <f t="shared" si="27"/>
        <v>5.2796591524752481</v>
      </c>
      <c r="AV8" s="12">
        <f t="shared" si="28"/>
        <v>6.1648429985855744</v>
      </c>
      <c r="AW8" s="12">
        <f t="shared" si="29"/>
        <v>5.070640538613862</v>
      </c>
      <c r="AX8" s="12">
        <f t="shared" si="30"/>
        <v>4.7675219236209347</v>
      </c>
      <c r="AY8" s="12">
        <f t="shared" si="31"/>
        <v>4.6822376237623775</v>
      </c>
      <c r="AZ8" s="12">
        <f t="shared" si="32"/>
        <v>4.704857964356437</v>
      </c>
      <c r="BA8" s="12"/>
    </row>
    <row r="9" spans="2:53" x14ac:dyDescent="0.2">
      <c r="B9" s="1" t="s">
        <v>81</v>
      </c>
      <c r="C9">
        <v>74000</v>
      </c>
      <c r="D9" t="s">
        <v>20</v>
      </c>
      <c r="P9">
        <f t="shared" si="36"/>
        <v>1.75</v>
      </c>
      <c r="Q9">
        <f t="shared" si="33"/>
        <v>70</v>
      </c>
      <c r="R9" s="12">
        <f t="shared" si="1"/>
        <v>35.272342196639258</v>
      </c>
      <c r="S9" s="12">
        <f t="shared" si="2"/>
        <v>32.095822583159247</v>
      </c>
      <c r="T9" s="12">
        <f t="shared" si="3"/>
        <v>23.848888794241944</v>
      </c>
      <c r="U9" s="12">
        <f t="shared" si="4"/>
        <v>19.318655350734588</v>
      </c>
      <c r="V9" s="12">
        <f t="shared" si="5"/>
        <v>22.832562391588816</v>
      </c>
      <c r="W9" s="12">
        <f t="shared" si="6"/>
        <v>19.818525160795808</v>
      </c>
      <c r="X9" s="12">
        <f t="shared" si="7"/>
        <v>16.493867577834592</v>
      </c>
      <c r="Y9" s="12">
        <f t="shared" si="8"/>
        <v>19.182786704153049</v>
      </c>
      <c r="Z9" s="12">
        <f t="shared" si="9"/>
        <v>16.989670846792976</v>
      </c>
      <c r="AA9" s="12">
        <f t="shared" si="10"/>
        <v>16.989670846792976</v>
      </c>
      <c r="AB9" s="12">
        <f t="shared" si="11"/>
        <v>16.491792487528478</v>
      </c>
      <c r="AC9" s="12">
        <f t="shared" si="12"/>
        <v>16.353932390150227</v>
      </c>
      <c r="AD9" s="12">
        <f t="shared" si="13"/>
        <v>14.27397070535026</v>
      </c>
      <c r="AE9" s="12">
        <f t="shared" si="14"/>
        <v>15.439444742801193</v>
      </c>
      <c r="AF9" s="12">
        <f t="shared" si="15"/>
        <v>11.549016297039415</v>
      </c>
      <c r="AG9" s="12">
        <f t="shared" si="16"/>
        <v>12.020127581097892</v>
      </c>
      <c r="AH9" s="12">
        <f t="shared" si="34"/>
        <v>23.554931577600509</v>
      </c>
      <c r="AJ9">
        <f t="shared" si="35"/>
        <v>70</v>
      </c>
      <c r="AK9" s="12">
        <f t="shared" si="17"/>
        <v>10.301919801980199</v>
      </c>
      <c r="AL9" s="12">
        <f t="shared" si="18"/>
        <v>8.6850495049504968</v>
      </c>
      <c r="AM9" s="12">
        <f t="shared" si="19"/>
        <v>7.2542673267326734</v>
      </c>
      <c r="AN9" s="12">
        <f t="shared" si="20"/>
        <v>7.2418257425742585</v>
      </c>
      <c r="AO9" s="12">
        <f t="shared" si="21"/>
        <v>7.6928619801980211</v>
      </c>
      <c r="AP9" s="12">
        <f t="shared" si="22"/>
        <v>6.0286425188118828</v>
      </c>
      <c r="AQ9" s="12">
        <f t="shared" si="23"/>
        <v>6.5735643564356439</v>
      </c>
      <c r="AR9" s="12">
        <f t="shared" si="24"/>
        <v>5.6153564356435659</v>
      </c>
      <c r="AS9" s="12">
        <f t="shared" si="25"/>
        <v>5.7176029148514864</v>
      </c>
      <c r="AT9" s="12">
        <f t="shared" si="26"/>
        <v>5.9885533148514858</v>
      </c>
      <c r="AU9" s="12">
        <f t="shared" si="27"/>
        <v>5.6628599445544561</v>
      </c>
      <c r="AV9" s="12">
        <f t="shared" si="28"/>
        <v>6.5203168316831697</v>
      </c>
      <c r="AW9" s="12">
        <f t="shared" si="29"/>
        <v>5.4190048950495058</v>
      </c>
      <c r="AX9" s="12">
        <f t="shared" si="30"/>
        <v>5.1141089108910904</v>
      </c>
      <c r="AY9" s="12">
        <f t="shared" si="31"/>
        <v>4.993277227722773</v>
      </c>
      <c r="AZ9" s="12">
        <f t="shared" si="32"/>
        <v>4.9922585584158421</v>
      </c>
      <c r="BA9" s="12"/>
    </row>
    <row r="10" spans="2:53" x14ac:dyDescent="0.2">
      <c r="B10" s="1" t="s">
        <v>86</v>
      </c>
      <c r="C10">
        <v>500</v>
      </c>
      <c r="D10" t="s">
        <v>84</v>
      </c>
      <c r="P10">
        <f t="shared" si="36"/>
        <v>2</v>
      </c>
      <c r="Q10">
        <f t="shared" si="33"/>
        <v>80</v>
      </c>
      <c r="R10" s="12">
        <f t="shared" si="1"/>
        <v>35.272342196639258</v>
      </c>
      <c r="S10" s="12">
        <f t="shared" si="2"/>
        <v>32.095822583159247</v>
      </c>
      <c r="T10" s="12">
        <f t="shared" si="3"/>
        <v>23.848888794241944</v>
      </c>
      <c r="U10" s="12">
        <f t="shared" si="4"/>
        <v>19.318655350734588</v>
      </c>
      <c r="V10" s="12">
        <f t="shared" si="5"/>
        <v>22.832562391588816</v>
      </c>
      <c r="W10" s="12">
        <f t="shared" si="6"/>
        <v>19.818525160795808</v>
      </c>
      <c r="X10" s="12">
        <f t="shared" si="7"/>
        <v>16.493867577834592</v>
      </c>
      <c r="Y10" s="12">
        <f t="shared" si="8"/>
        <v>19.182786704153049</v>
      </c>
      <c r="Z10" s="12">
        <f t="shared" si="9"/>
        <v>16.989670846792976</v>
      </c>
      <c r="AA10" s="12">
        <f t="shared" si="10"/>
        <v>16.989670846792976</v>
      </c>
      <c r="AB10" s="12">
        <f t="shared" si="11"/>
        <v>16.491792487528478</v>
      </c>
      <c r="AC10" s="12">
        <f t="shared" si="12"/>
        <v>16.353932390150227</v>
      </c>
      <c r="AD10" s="12">
        <f t="shared" si="13"/>
        <v>14.27397070535026</v>
      </c>
      <c r="AE10" s="12">
        <f t="shared" si="14"/>
        <v>15.439444742801193</v>
      </c>
      <c r="AF10" s="12">
        <f t="shared" si="15"/>
        <v>11.549016297039415</v>
      </c>
      <c r="AG10" s="12">
        <f t="shared" si="16"/>
        <v>12.020127581097892</v>
      </c>
      <c r="AH10" s="12">
        <f t="shared" si="34"/>
        <v>23.554931577600509</v>
      </c>
      <c r="AJ10">
        <f t="shared" si="35"/>
        <v>80</v>
      </c>
      <c r="AK10" s="12">
        <f t="shared" si="17"/>
        <v>11.042194059405944</v>
      </c>
      <c r="AL10" s="12">
        <f t="shared" si="18"/>
        <v>9.4137708628005665</v>
      </c>
      <c r="AM10" s="12">
        <f t="shared" si="19"/>
        <v>7.7785912305516263</v>
      </c>
      <c r="AN10" s="12">
        <f t="shared" si="20"/>
        <v>7.7643722772277233</v>
      </c>
      <c r="AO10" s="12">
        <f t="shared" si="21"/>
        <v>8.2066994059405953</v>
      </c>
      <c r="AP10" s="12">
        <f t="shared" si="22"/>
        <v>6.4640979643564362</v>
      </c>
      <c r="AQ10" s="12">
        <f t="shared" si="23"/>
        <v>6.9823592644978794</v>
      </c>
      <c r="AR10" s="12">
        <f t="shared" si="24"/>
        <v>6.01526449787836</v>
      </c>
      <c r="AS10" s="12">
        <f t="shared" si="25"/>
        <v>6.108624131258841</v>
      </c>
      <c r="AT10" s="12">
        <f t="shared" si="26"/>
        <v>6.3795745312588412</v>
      </c>
      <c r="AU10" s="12">
        <f t="shared" si="27"/>
        <v>6.0460607366336649</v>
      </c>
      <c r="AV10" s="12">
        <f t="shared" si="28"/>
        <v>6.8757906647807649</v>
      </c>
      <c r="AW10" s="12">
        <f t="shared" si="29"/>
        <v>5.7673692514851504</v>
      </c>
      <c r="AX10" s="12">
        <f t="shared" si="30"/>
        <v>5.4606958981612452</v>
      </c>
      <c r="AY10" s="12">
        <f t="shared" si="31"/>
        <v>5.3043168316831695</v>
      </c>
      <c r="AZ10" s="12">
        <f t="shared" si="32"/>
        <v>5.2796591524752481</v>
      </c>
      <c r="BA10" s="12"/>
    </row>
    <row r="11" spans="2:53" x14ac:dyDescent="0.2">
      <c r="B11" s="1" t="s">
        <v>85</v>
      </c>
      <c r="C11" s="2">
        <f>C9/1000*C10/1000*(C6*2)/(2*PI()*10)</f>
        <v>23.554931577600509</v>
      </c>
      <c r="D11" t="s">
        <v>82</v>
      </c>
      <c r="P11">
        <f t="shared" si="36"/>
        <v>2.25</v>
      </c>
      <c r="Q11">
        <f t="shared" si="33"/>
        <v>90</v>
      </c>
      <c r="R11" s="12">
        <f t="shared" si="1"/>
        <v>35.272342196639258</v>
      </c>
      <c r="S11" s="12">
        <f t="shared" si="2"/>
        <v>32.095822583159247</v>
      </c>
      <c r="T11" s="12">
        <f t="shared" si="3"/>
        <v>23.848888794241944</v>
      </c>
      <c r="U11" s="12">
        <f t="shared" si="4"/>
        <v>19.318655350734588</v>
      </c>
      <c r="V11" s="12">
        <f t="shared" si="5"/>
        <v>22.832562391588816</v>
      </c>
      <c r="W11" s="12">
        <f t="shared" si="6"/>
        <v>19.818525160795808</v>
      </c>
      <c r="X11" s="12">
        <f t="shared" si="7"/>
        <v>16.493867577834592</v>
      </c>
      <c r="Y11" s="12">
        <f t="shared" si="8"/>
        <v>19.182786704153049</v>
      </c>
      <c r="Z11" s="12">
        <f t="shared" si="9"/>
        <v>16.989670846792976</v>
      </c>
      <c r="AA11" s="12">
        <f t="shared" si="10"/>
        <v>16.989670846792976</v>
      </c>
      <c r="AB11" s="12">
        <f t="shared" si="11"/>
        <v>16.491792487528478</v>
      </c>
      <c r="AC11" s="12">
        <f t="shared" si="12"/>
        <v>16.353932390150227</v>
      </c>
      <c r="AD11" s="12">
        <f t="shared" si="13"/>
        <v>14.27397070535026</v>
      </c>
      <c r="AE11" s="12">
        <f t="shared" si="14"/>
        <v>15.439444742801193</v>
      </c>
      <c r="AF11" s="12">
        <f t="shared" si="15"/>
        <v>11.549016297039415</v>
      </c>
      <c r="AG11" s="12">
        <f t="shared" si="16"/>
        <v>12.020127581097892</v>
      </c>
      <c r="AH11" s="12">
        <f t="shared" si="34"/>
        <v>23.554931577600509</v>
      </c>
      <c r="AJ11">
        <f t="shared" si="35"/>
        <v>90</v>
      </c>
      <c r="AK11" s="12">
        <f t="shared" si="17"/>
        <v>11.782468316831686</v>
      </c>
      <c r="AL11" s="12">
        <f t="shared" si="18"/>
        <v>10.142492220650638</v>
      </c>
      <c r="AM11" s="12">
        <f t="shared" si="19"/>
        <v>8.3029151343705792</v>
      </c>
      <c r="AN11" s="12">
        <f t="shared" si="20"/>
        <v>8.2869188118811881</v>
      </c>
      <c r="AO11" s="12">
        <f t="shared" si="21"/>
        <v>8.7205368316831713</v>
      </c>
      <c r="AP11" s="12">
        <f t="shared" si="22"/>
        <v>6.8995534099009914</v>
      </c>
      <c r="AQ11" s="12">
        <f t="shared" si="23"/>
        <v>7.3911541725601131</v>
      </c>
      <c r="AR11" s="12">
        <f t="shared" si="24"/>
        <v>6.4151725601131551</v>
      </c>
      <c r="AS11" s="12">
        <f t="shared" si="25"/>
        <v>6.4996453476661964</v>
      </c>
      <c r="AT11" s="12">
        <f t="shared" si="26"/>
        <v>6.7705957476661967</v>
      </c>
      <c r="AU11" s="12">
        <f t="shared" si="27"/>
        <v>6.429261528712872</v>
      </c>
      <c r="AV11" s="12">
        <f t="shared" si="28"/>
        <v>7.2312644978783602</v>
      </c>
      <c r="AW11" s="12">
        <f t="shared" si="29"/>
        <v>6.1157336079207933</v>
      </c>
      <c r="AX11" s="12">
        <f t="shared" si="30"/>
        <v>5.8072828854314018</v>
      </c>
      <c r="AY11" s="12">
        <f t="shared" si="31"/>
        <v>5.6153564356435659</v>
      </c>
      <c r="AZ11" s="12">
        <f t="shared" si="32"/>
        <v>5.5670597465346541</v>
      </c>
      <c r="BA11" s="12"/>
    </row>
    <row r="12" spans="2:53" ht="17" customHeight="1" x14ac:dyDescent="0.2">
      <c r="P12">
        <f t="shared" si="36"/>
        <v>2.5</v>
      </c>
      <c r="Q12">
        <f t="shared" si="33"/>
        <v>100</v>
      </c>
      <c r="R12" s="12">
        <f t="shared" si="1"/>
        <v>35.272342196639258</v>
      </c>
      <c r="S12" s="12">
        <f t="shared" si="2"/>
        <v>32.095822583159247</v>
      </c>
      <c r="T12" s="12">
        <f t="shared" si="3"/>
        <v>23.848888794241944</v>
      </c>
      <c r="U12" s="12">
        <f t="shared" si="4"/>
        <v>19.318655350734588</v>
      </c>
      <c r="V12" s="12">
        <f t="shared" si="5"/>
        <v>22.832562391588816</v>
      </c>
      <c r="W12" s="12">
        <f t="shared" si="6"/>
        <v>19.818525160795808</v>
      </c>
      <c r="X12" s="12">
        <f t="shared" si="7"/>
        <v>16.493867577834592</v>
      </c>
      <c r="Y12" s="12">
        <f t="shared" si="8"/>
        <v>19.182786704153049</v>
      </c>
      <c r="Z12" s="12">
        <f t="shared" si="9"/>
        <v>16.989670846792976</v>
      </c>
      <c r="AA12" s="12">
        <f t="shared" si="10"/>
        <v>16.989670846792976</v>
      </c>
      <c r="AB12" s="12">
        <f t="shared" si="11"/>
        <v>16.491792487528478</v>
      </c>
      <c r="AC12" s="12">
        <f t="shared" si="12"/>
        <v>16.353932390150227</v>
      </c>
      <c r="AD12" s="12">
        <f t="shared" si="13"/>
        <v>14.27397070535026</v>
      </c>
      <c r="AE12" s="12">
        <f t="shared" si="14"/>
        <v>15.439444742801193</v>
      </c>
      <c r="AF12" s="12">
        <f t="shared" si="15"/>
        <v>11.549016297039415</v>
      </c>
      <c r="AG12" s="12">
        <f t="shared" si="16"/>
        <v>12.020127581097892</v>
      </c>
      <c r="AH12" s="12">
        <f t="shared" si="34"/>
        <v>23.554931577600509</v>
      </c>
      <c r="AJ12">
        <f t="shared" si="35"/>
        <v>100</v>
      </c>
      <c r="AK12" s="12">
        <f t="shared" si="17"/>
        <v>12.522742574257428</v>
      </c>
      <c r="AL12" s="12">
        <f t="shared" si="18"/>
        <v>10.871213578500708</v>
      </c>
      <c r="AM12" s="12">
        <f t="shared" si="19"/>
        <v>8.8272390381895338</v>
      </c>
      <c r="AN12" s="12">
        <f t="shared" si="20"/>
        <v>8.8094653465346546</v>
      </c>
      <c r="AO12" s="12">
        <f t="shared" si="21"/>
        <v>9.2343742574257455</v>
      </c>
      <c r="AP12" s="12">
        <f t="shared" si="22"/>
        <v>7.3350088554455466</v>
      </c>
      <c r="AQ12" s="12">
        <f t="shared" si="23"/>
        <v>7.7999490806223495</v>
      </c>
      <c r="AR12" s="12">
        <f t="shared" si="24"/>
        <v>6.8150806223479492</v>
      </c>
      <c r="AS12" s="12">
        <f t="shared" si="25"/>
        <v>6.8906665640735518</v>
      </c>
      <c r="AT12" s="12">
        <f t="shared" si="26"/>
        <v>7.1616169640735512</v>
      </c>
      <c r="AU12" s="12">
        <f t="shared" si="27"/>
        <v>6.8124623207920809</v>
      </c>
      <c r="AV12" s="12">
        <f t="shared" si="28"/>
        <v>7.5867383309759564</v>
      </c>
      <c r="AW12" s="12">
        <f t="shared" si="29"/>
        <v>6.4640979643564362</v>
      </c>
      <c r="AX12" s="12">
        <f t="shared" si="30"/>
        <v>6.1538698727015566</v>
      </c>
      <c r="AY12" s="12">
        <f t="shared" si="31"/>
        <v>5.9263960396039614</v>
      </c>
      <c r="AZ12" s="12">
        <f t="shared" si="32"/>
        <v>5.854460340594061</v>
      </c>
      <c r="BA12" s="12"/>
    </row>
    <row r="13" spans="2:53" x14ac:dyDescent="0.2">
      <c r="P13">
        <f t="shared" si="36"/>
        <v>2.75</v>
      </c>
      <c r="Q13">
        <f t="shared" si="33"/>
        <v>110</v>
      </c>
      <c r="R13" s="12">
        <f t="shared" si="1"/>
        <v>35.272342196639258</v>
      </c>
      <c r="S13" s="12">
        <f t="shared" si="2"/>
        <v>30.215905711288666</v>
      </c>
      <c r="T13" s="12">
        <f t="shared" si="3"/>
        <v>23.848888794241944</v>
      </c>
      <c r="U13" s="12">
        <f t="shared" si="4"/>
        <v>19.318655350734588</v>
      </c>
      <c r="V13" s="12">
        <f t="shared" si="5"/>
        <v>22.832562391588816</v>
      </c>
      <c r="W13" s="12">
        <f t="shared" si="6"/>
        <v>19.818525160795808</v>
      </c>
      <c r="X13" s="12">
        <f t="shared" si="7"/>
        <v>16.493867577834592</v>
      </c>
      <c r="Y13" s="12">
        <f t="shared" si="8"/>
        <v>19.182786704153049</v>
      </c>
      <c r="Z13" s="12">
        <f t="shared" si="9"/>
        <v>16.989670846792976</v>
      </c>
      <c r="AA13" s="12">
        <f t="shared" si="10"/>
        <v>16.989670846792976</v>
      </c>
      <c r="AB13" s="12">
        <f t="shared" si="11"/>
        <v>16.491792487528478</v>
      </c>
      <c r="AC13" s="12">
        <f t="shared" si="12"/>
        <v>16.353932390150227</v>
      </c>
      <c r="AD13" s="12">
        <f t="shared" si="13"/>
        <v>14.27397070535026</v>
      </c>
      <c r="AE13" s="12">
        <f t="shared" si="14"/>
        <v>15.439444742801193</v>
      </c>
      <c r="AF13" s="12">
        <f t="shared" si="15"/>
        <v>11.549016297039415</v>
      </c>
      <c r="AG13" s="12">
        <f t="shared" si="16"/>
        <v>12.020127581097892</v>
      </c>
      <c r="AH13" s="12">
        <f t="shared" si="34"/>
        <v>23.554931577600509</v>
      </c>
      <c r="AJ13">
        <f t="shared" si="35"/>
        <v>110</v>
      </c>
      <c r="AK13" s="12">
        <f t="shared" si="17"/>
        <v>13.263016831683172</v>
      </c>
      <c r="AL13" s="12">
        <f t="shared" si="18"/>
        <v>10.990545819396612</v>
      </c>
      <c r="AM13" s="12">
        <f t="shared" si="19"/>
        <v>9.3515629420084885</v>
      </c>
      <c r="AN13" s="12">
        <f t="shared" si="20"/>
        <v>9.3320118811881212</v>
      </c>
      <c r="AO13" s="12">
        <f t="shared" si="21"/>
        <v>9.7482116831683197</v>
      </c>
      <c r="AP13" s="12">
        <f t="shared" si="22"/>
        <v>7.7704643009901</v>
      </c>
      <c r="AQ13" s="12">
        <f t="shared" si="23"/>
        <v>8.2087439886845832</v>
      </c>
      <c r="AR13" s="12">
        <f t="shared" si="24"/>
        <v>7.2149886845827442</v>
      </c>
      <c r="AS13" s="12">
        <f t="shared" si="25"/>
        <v>7.2816877804809064</v>
      </c>
      <c r="AT13" s="12">
        <f t="shared" si="26"/>
        <v>7.5526381804809066</v>
      </c>
      <c r="AU13" s="12">
        <f t="shared" si="27"/>
        <v>7.1956631128712889</v>
      </c>
      <c r="AV13" s="12">
        <f t="shared" si="28"/>
        <v>7.9422121640735526</v>
      </c>
      <c r="AW13" s="12">
        <f t="shared" si="29"/>
        <v>6.8124623207920809</v>
      </c>
      <c r="AX13" s="12">
        <f t="shared" si="30"/>
        <v>6.5004568599717123</v>
      </c>
      <c r="AY13" s="12">
        <f t="shared" si="31"/>
        <v>6.237435643564357</v>
      </c>
      <c r="AZ13" s="12">
        <f t="shared" si="32"/>
        <v>6.1418609346534669</v>
      </c>
      <c r="BA13" s="12"/>
    </row>
    <row r="14" spans="2:53" x14ac:dyDescent="0.2">
      <c r="P14">
        <f t="shared" si="36"/>
        <v>3</v>
      </c>
      <c r="Q14">
        <f t="shared" si="33"/>
        <v>120</v>
      </c>
      <c r="R14" s="12">
        <f t="shared" si="1"/>
        <v>35.272342196639258</v>
      </c>
      <c r="S14" s="12">
        <f t="shared" si="2"/>
        <v>24.850881996582405</v>
      </c>
      <c r="T14" s="12">
        <f t="shared" si="3"/>
        <v>23.848888794241944</v>
      </c>
      <c r="U14" s="12">
        <f t="shared" si="4"/>
        <v>19.318655350734588</v>
      </c>
      <c r="V14" s="12">
        <f t="shared" si="5"/>
        <v>22.832562391588816</v>
      </c>
      <c r="W14" s="12">
        <f t="shared" si="6"/>
        <v>19.818525160795808</v>
      </c>
      <c r="X14" s="12">
        <f t="shared" si="7"/>
        <v>16.493867577834592</v>
      </c>
      <c r="Y14" s="12">
        <f t="shared" si="8"/>
        <v>19.182786704153049</v>
      </c>
      <c r="Z14" s="12">
        <f t="shared" si="9"/>
        <v>16.989670846792976</v>
      </c>
      <c r="AA14" s="12">
        <f t="shared" si="10"/>
        <v>16.989670846792976</v>
      </c>
      <c r="AB14" s="12">
        <f t="shared" si="11"/>
        <v>16.491792487528478</v>
      </c>
      <c r="AC14" s="12">
        <f t="shared" si="12"/>
        <v>16.353932390150227</v>
      </c>
      <c r="AD14" s="12">
        <f t="shared" si="13"/>
        <v>14.27397070535026</v>
      </c>
      <c r="AE14" s="12">
        <f t="shared" si="14"/>
        <v>15.439444742801193</v>
      </c>
      <c r="AF14" s="12">
        <f t="shared" si="15"/>
        <v>11.549016297039415</v>
      </c>
      <c r="AG14" s="12">
        <f t="shared" si="16"/>
        <v>12.020127581097892</v>
      </c>
      <c r="AH14" s="12">
        <f t="shared" si="34"/>
        <v>23.554931577600509</v>
      </c>
      <c r="AJ14">
        <f t="shared" si="35"/>
        <v>120</v>
      </c>
      <c r="AK14" s="12">
        <f t="shared" si="17"/>
        <v>14.003291089108913</v>
      </c>
      <c r="AL14" s="12">
        <f t="shared" si="18"/>
        <v>9.9310787418559645</v>
      </c>
      <c r="AM14" s="12">
        <f t="shared" si="19"/>
        <v>9.8758868458274414</v>
      </c>
      <c r="AN14" s="12">
        <f t="shared" si="20"/>
        <v>9.854558415841586</v>
      </c>
      <c r="AO14" s="12">
        <f t="shared" si="21"/>
        <v>10.262049108910894</v>
      </c>
      <c r="AP14" s="12">
        <f t="shared" si="22"/>
        <v>8.2059197465346543</v>
      </c>
      <c r="AQ14" s="12">
        <f t="shared" si="23"/>
        <v>8.6175388967468187</v>
      </c>
      <c r="AR14" s="12">
        <f t="shared" si="24"/>
        <v>7.6148967468175401</v>
      </c>
      <c r="AS14" s="12">
        <f t="shared" si="25"/>
        <v>7.6727089968882618</v>
      </c>
      <c r="AT14" s="12">
        <f t="shared" si="26"/>
        <v>7.9436593968882621</v>
      </c>
      <c r="AU14" s="12">
        <f t="shared" si="27"/>
        <v>7.5788639049504969</v>
      </c>
      <c r="AV14" s="12">
        <f t="shared" si="28"/>
        <v>8.2976859971711487</v>
      </c>
      <c r="AW14" s="12">
        <f t="shared" si="29"/>
        <v>7.1608266772277247</v>
      </c>
      <c r="AX14" s="12">
        <f t="shared" si="30"/>
        <v>6.847043847241868</v>
      </c>
      <c r="AY14" s="12">
        <f t="shared" si="31"/>
        <v>6.5484752475247534</v>
      </c>
      <c r="AZ14" s="12">
        <f t="shared" si="32"/>
        <v>6.429261528712872</v>
      </c>
      <c r="BA14" s="12"/>
    </row>
    <row r="15" spans="2:53" x14ac:dyDescent="0.2">
      <c r="P15">
        <f t="shared" si="36"/>
        <v>3.25</v>
      </c>
      <c r="Q15">
        <f t="shared" si="33"/>
        <v>130</v>
      </c>
      <c r="R15" s="12">
        <f t="shared" si="1"/>
        <v>35.272342196639258</v>
      </c>
      <c r="S15" s="12">
        <f t="shared" si="2"/>
        <v>20.08584519133105</v>
      </c>
      <c r="T15" s="12">
        <f t="shared" si="3"/>
        <v>23.848888794241944</v>
      </c>
      <c r="U15" s="12">
        <f t="shared" si="4"/>
        <v>19.318655350734588</v>
      </c>
      <c r="V15" s="12">
        <f t="shared" si="5"/>
        <v>22.832562391588816</v>
      </c>
      <c r="W15" s="12">
        <f t="shared" si="6"/>
        <v>19.818525160795808</v>
      </c>
      <c r="X15" s="12">
        <f t="shared" si="7"/>
        <v>16.493867577834592</v>
      </c>
      <c r="Y15" s="12">
        <f t="shared" si="8"/>
        <v>19.182786704153049</v>
      </c>
      <c r="Z15" s="12">
        <f t="shared" si="9"/>
        <v>16.989670846792976</v>
      </c>
      <c r="AA15" s="12">
        <f t="shared" si="10"/>
        <v>16.989670846792976</v>
      </c>
      <c r="AB15" s="12">
        <f t="shared" si="11"/>
        <v>16.491792487528478</v>
      </c>
      <c r="AC15" s="12">
        <f t="shared" si="12"/>
        <v>16.353932390150227</v>
      </c>
      <c r="AD15" s="12">
        <f t="shared" si="13"/>
        <v>14.27397070535026</v>
      </c>
      <c r="AE15" s="12">
        <f t="shared" si="14"/>
        <v>15.439444742801193</v>
      </c>
      <c r="AF15" s="12">
        <f t="shared" si="15"/>
        <v>11.549016297039415</v>
      </c>
      <c r="AG15" s="12">
        <f t="shared" si="16"/>
        <v>12.020127581097892</v>
      </c>
      <c r="AH15" s="12">
        <f t="shared" si="34"/>
        <v>23.554931577600509</v>
      </c>
      <c r="AJ15">
        <f t="shared" si="35"/>
        <v>130</v>
      </c>
      <c r="AK15" s="12">
        <f t="shared" si="17"/>
        <v>14.743565346534655</v>
      </c>
      <c r="AL15" s="12">
        <f t="shared" si="18"/>
        <v>8.9895480372897065</v>
      </c>
      <c r="AM15" s="12">
        <f t="shared" si="19"/>
        <v>10.400210749646394</v>
      </c>
      <c r="AN15" s="12">
        <f t="shared" si="20"/>
        <v>10.377104950495051</v>
      </c>
      <c r="AO15" s="12">
        <f t="shared" si="21"/>
        <v>10.775886534653468</v>
      </c>
      <c r="AP15" s="12">
        <f t="shared" si="22"/>
        <v>8.6413751920792095</v>
      </c>
      <c r="AQ15" s="12">
        <f t="shared" si="23"/>
        <v>9.0263338048090542</v>
      </c>
      <c r="AR15" s="12">
        <f t="shared" si="24"/>
        <v>8.0148048090523343</v>
      </c>
      <c r="AS15" s="12">
        <f t="shared" si="25"/>
        <v>8.0637302132956172</v>
      </c>
      <c r="AT15" s="12">
        <f t="shared" si="26"/>
        <v>8.3346806132956175</v>
      </c>
      <c r="AU15" s="12">
        <f t="shared" si="27"/>
        <v>7.9620646970297049</v>
      </c>
      <c r="AV15" s="12">
        <f t="shared" si="28"/>
        <v>8.6531598302687449</v>
      </c>
      <c r="AW15" s="12">
        <f t="shared" si="29"/>
        <v>7.5091910336633676</v>
      </c>
      <c r="AX15" s="12">
        <f t="shared" si="30"/>
        <v>7.1936308345120246</v>
      </c>
      <c r="AY15" s="12">
        <f t="shared" si="31"/>
        <v>6.8595148514851507</v>
      </c>
      <c r="AZ15" s="12">
        <f t="shared" si="32"/>
        <v>6.7166621227722789</v>
      </c>
      <c r="BA15" s="12"/>
    </row>
    <row r="16" spans="2:53" x14ac:dyDescent="0.2">
      <c r="P16">
        <f t="shared" si="36"/>
        <v>3.5</v>
      </c>
      <c r="Q16">
        <f t="shared" si="33"/>
        <v>140</v>
      </c>
      <c r="R16" s="12">
        <f t="shared" si="1"/>
        <v>35.272342196639258</v>
      </c>
      <c r="S16" s="12">
        <f t="shared" si="2"/>
        <v>15.82547759019927</v>
      </c>
      <c r="T16" s="12">
        <f t="shared" si="3"/>
        <v>23.848888794241944</v>
      </c>
      <c r="U16" s="12">
        <f t="shared" si="4"/>
        <v>19.318655350734588</v>
      </c>
      <c r="V16" s="12">
        <f t="shared" si="5"/>
        <v>22.832562391588816</v>
      </c>
      <c r="W16" s="12">
        <f t="shared" si="6"/>
        <v>19.818525160795808</v>
      </c>
      <c r="X16" s="12">
        <f t="shared" si="7"/>
        <v>16.493867577834592</v>
      </c>
      <c r="Y16" s="12">
        <f t="shared" si="8"/>
        <v>19.182786704153049</v>
      </c>
      <c r="Z16" s="12">
        <f t="shared" si="9"/>
        <v>16.989670846792976</v>
      </c>
      <c r="AA16" s="12">
        <f t="shared" si="10"/>
        <v>16.989670846792976</v>
      </c>
      <c r="AB16" s="12">
        <f t="shared" si="11"/>
        <v>16.491792487528478</v>
      </c>
      <c r="AC16" s="12">
        <f t="shared" si="12"/>
        <v>16.353932390150227</v>
      </c>
      <c r="AD16" s="12">
        <f t="shared" si="13"/>
        <v>14.27397070535026</v>
      </c>
      <c r="AE16" s="12">
        <f t="shared" si="14"/>
        <v>15.439444742801193</v>
      </c>
      <c r="AF16" s="12">
        <f t="shared" si="15"/>
        <v>11.549016297039415</v>
      </c>
      <c r="AG16" s="12">
        <f t="shared" si="16"/>
        <v>12.020127581097892</v>
      </c>
      <c r="AH16" s="12">
        <f t="shared" si="34"/>
        <v>23.554931577600509</v>
      </c>
      <c r="AJ16">
        <f t="shared" si="35"/>
        <v>140</v>
      </c>
      <c r="AK16" s="12">
        <f t="shared" si="17"/>
        <v>15.4838396039604</v>
      </c>
      <c r="AL16" s="12">
        <f t="shared" si="18"/>
        <v>8.1351244333822343</v>
      </c>
      <c r="AM16" s="12">
        <f t="shared" si="19"/>
        <v>10.924534653465347</v>
      </c>
      <c r="AN16" s="12">
        <f t="shared" si="20"/>
        <v>10.899651485148517</v>
      </c>
      <c r="AO16" s="12">
        <f t="shared" si="21"/>
        <v>11.289723960396042</v>
      </c>
      <c r="AP16" s="12">
        <f t="shared" si="22"/>
        <v>9.0768306376237646</v>
      </c>
      <c r="AQ16" s="12">
        <f t="shared" si="23"/>
        <v>9.435128712871288</v>
      </c>
      <c r="AR16" s="12">
        <f t="shared" si="24"/>
        <v>8.4147128712871311</v>
      </c>
      <c r="AS16" s="12">
        <f t="shared" si="25"/>
        <v>8.4547514297029718</v>
      </c>
      <c r="AT16" s="12">
        <f t="shared" si="26"/>
        <v>8.725701829702972</v>
      </c>
      <c r="AU16" s="12">
        <f t="shared" si="27"/>
        <v>8.3452654891089129</v>
      </c>
      <c r="AV16" s="12">
        <f t="shared" si="28"/>
        <v>9.0086336633663393</v>
      </c>
      <c r="AW16" s="12">
        <f t="shared" si="29"/>
        <v>7.8575553900990105</v>
      </c>
      <c r="AX16" s="12">
        <f t="shared" si="30"/>
        <v>7.5402178217821785</v>
      </c>
      <c r="AY16" s="12">
        <f t="shared" si="31"/>
        <v>7.1705544554455463</v>
      </c>
      <c r="AZ16" s="12">
        <f t="shared" si="32"/>
        <v>7.0040627168316858</v>
      </c>
      <c r="BA16" s="12"/>
    </row>
    <row r="17" spans="1:53" x14ac:dyDescent="0.2">
      <c r="P17">
        <f t="shared" si="36"/>
        <v>3.75</v>
      </c>
      <c r="Q17">
        <f t="shared" si="33"/>
        <v>150</v>
      </c>
      <c r="R17" s="12">
        <f t="shared" si="1"/>
        <v>35.272342196639258</v>
      </c>
      <c r="S17" s="12">
        <f t="shared" si="2"/>
        <v>11.993636432891606</v>
      </c>
      <c r="T17" s="12">
        <f t="shared" si="3"/>
        <v>23.848888794241944</v>
      </c>
      <c r="U17" s="12">
        <f t="shared" si="4"/>
        <v>19.318655350734588</v>
      </c>
      <c r="V17" s="12">
        <f t="shared" si="5"/>
        <v>22.832562391588816</v>
      </c>
      <c r="W17" s="12">
        <f t="shared" si="6"/>
        <v>19.818525160795808</v>
      </c>
      <c r="X17" s="12">
        <f t="shared" si="7"/>
        <v>16.493867577834592</v>
      </c>
      <c r="Y17" s="12">
        <f t="shared" si="8"/>
        <v>19.182786704153049</v>
      </c>
      <c r="Z17" s="12">
        <f t="shared" si="9"/>
        <v>16.989670846792976</v>
      </c>
      <c r="AA17" s="12">
        <f t="shared" si="10"/>
        <v>16.989670846792976</v>
      </c>
      <c r="AB17" s="12">
        <f t="shared" si="11"/>
        <v>16.491792487528478</v>
      </c>
      <c r="AC17" s="12">
        <f t="shared" si="12"/>
        <v>16.353932390150227</v>
      </c>
      <c r="AD17" s="12">
        <f t="shared" si="13"/>
        <v>14.27397070535026</v>
      </c>
      <c r="AE17" s="12">
        <f t="shared" si="14"/>
        <v>15.439444742801193</v>
      </c>
      <c r="AF17" s="12">
        <f t="shared" si="15"/>
        <v>11.549016297039415</v>
      </c>
      <c r="AG17" s="12">
        <f t="shared" si="16"/>
        <v>12.020127581097892</v>
      </c>
      <c r="AH17" s="12">
        <f t="shared" si="34"/>
        <v>23.554931577600509</v>
      </c>
      <c r="AJ17">
        <f t="shared" si="35"/>
        <v>150</v>
      </c>
      <c r="AK17" s="12">
        <f t="shared" si="17"/>
        <v>16.224113861386144</v>
      </c>
      <c r="AL17" s="12">
        <f t="shared" si="18"/>
        <v>7.3454909606306229</v>
      </c>
      <c r="AM17" s="12">
        <f t="shared" si="19"/>
        <v>11.4488585572843</v>
      </c>
      <c r="AN17" s="12">
        <f t="shared" si="20"/>
        <v>11.422198019801982</v>
      </c>
      <c r="AO17" s="12">
        <f t="shared" si="21"/>
        <v>11.803561386138618</v>
      </c>
      <c r="AP17" s="12">
        <f t="shared" si="22"/>
        <v>9.512286083168318</v>
      </c>
      <c r="AQ17" s="12">
        <f t="shared" si="23"/>
        <v>9.8439236209335235</v>
      </c>
      <c r="AR17" s="12">
        <f t="shared" si="24"/>
        <v>8.8146209335219261</v>
      </c>
      <c r="AS17" s="12">
        <f t="shared" si="25"/>
        <v>8.8457726461103263</v>
      </c>
      <c r="AT17" s="12">
        <f t="shared" si="26"/>
        <v>9.1167230461103266</v>
      </c>
      <c r="AU17" s="12">
        <f t="shared" si="27"/>
        <v>8.7284662811881208</v>
      </c>
      <c r="AV17" s="12">
        <f t="shared" si="28"/>
        <v>9.3641074964639355</v>
      </c>
      <c r="AW17" s="12">
        <f t="shared" si="29"/>
        <v>8.2059197465346543</v>
      </c>
      <c r="AX17" s="12">
        <f t="shared" si="30"/>
        <v>7.8868048090523351</v>
      </c>
      <c r="AY17" s="12">
        <f t="shared" si="31"/>
        <v>7.4815940594059418</v>
      </c>
      <c r="AZ17" s="12">
        <f t="shared" si="32"/>
        <v>7.29146331089109</v>
      </c>
      <c r="BA17" s="12"/>
    </row>
    <row r="18" spans="1:53" x14ac:dyDescent="0.2">
      <c r="P18">
        <f t="shared" si="36"/>
        <v>4</v>
      </c>
      <c r="Q18">
        <f t="shared" si="33"/>
        <v>160</v>
      </c>
      <c r="R18" s="12">
        <f t="shared" si="1"/>
        <v>35.272342196639258</v>
      </c>
      <c r="S18" s="12">
        <f t="shared" si="2"/>
        <v>8.5287630388200988</v>
      </c>
      <c r="T18" s="12">
        <f t="shared" si="3"/>
        <v>23.848888794241944</v>
      </c>
      <c r="U18" s="12">
        <f t="shared" si="4"/>
        <v>19.318655350734588</v>
      </c>
      <c r="V18" s="12">
        <f t="shared" si="5"/>
        <v>22.832562391588816</v>
      </c>
      <c r="W18" s="12">
        <f t="shared" si="6"/>
        <v>19.818525160795808</v>
      </c>
      <c r="X18" s="12">
        <f t="shared" si="7"/>
        <v>16.493867577834592</v>
      </c>
      <c r="Y18" s="12">
        <f t="shared" si="8"/>
        <v>19.182786704153049</v>
      </c>
      <c r="Z18" s="12">
        <f t="shared" si="9"/>
        <v>16.989670846792976</v>
      </c>
      <c r="AA18" s="12">
        <f t="shared" si="10"/>
        <v>16.989670846792976</v>
      </c>
      <c r="AB18" s="12">
        <f t="shared" si="11"/>
        <v>16.491792487528478</v>
      </c>
      <c r="AC18" s="12">
        <f t="shared" si="12"/>
        <v>16.353932390150227</v>
      </c>
      <c r="AD18" s="12">
        <f t="shared" si="13"/>
        <v>14.27397070535026</v>
      </c>
      <c r="AE18" s="12">
        <f t="shared" si="14"/>
        <v>15.439444742801193</v>
      </c>
      <c r="AF18" s="12">
        <f t="shared" si="15"/>
        <v>11.549016297039415</v>
      </c>
      <c r="AG18" s="12">
        <f t="shared" si="16"/>
        <v>12.020127581097892</v>
      </c>
      <c r="AH18" s="12">
        <f t="shared" si="34"/>
        <v>23.554931577600509</v>
      </c>
      <c r="AJ18">
        <f t="shared" si="35"/>
        <v>160</v>
      </c>
      <c r="AK18" s="12">
        <f t="shared" si="17"/>
        <v>16.964388118811883</v>
      </c>
      <c r="AL18" s="12">
        <f t="shared" si="18"/>
        <v>6.6042782644735025</v>
      </c>
      <c r="AM18" s="12">
        <f t="shared" si="19"/>
        <v>11.973182461103256</v>
      </c>
      <c r="AN18" s="12">
        <f t="shared" si="20"/>
        <v>11.944744554455447</v>
      </c>
      <c r="AO18" s="12">
        <f t="shared" si="21"/>
        <v>12.317398811881191</v>
      </c>
      <c r="AP18" s="12">
        <f t="shared" si="22"/>
        <v>9.9477415287128732</v>
      </c>
      <c r="AQ18" s="12">
        <f t="shared" si="23"/>
        <v>10.252718528995757</v>
      </c>
      <c r="AR18" s="12">
        <f t="shared" si="24"/>
        <v>9.2145289957567211</v>
      </c>
      <c r="AS18" s="12">
        <f t="shared" si="25"/>
        <v>9.2367938625176826</v>
      </c>
      <c r="AT18" s="12">
        <f t="shared" si="26"/>
        <v>9.5077442625176829</v>
      </c>
      <c r="AU18" s="12">
        <f t="shared" si="27"/>
        <v>9.1116670732673288</v>
      </c>
      <c r="AV18" s="12">
        <f t="shared" si="28"/>
        <v>9.7195813295615299</v>
      </c>
      <c r="AW18" s="12">
        <f t="shared" si="29"/>
        <v>8.5542841029702998</v>
      </c>
      <c r="AX18" s="12">
        <f t="shared" si="30"/>
        <v>8.2333917963224916</v>
      </c>
      <c r="AY18" s="12">
        <f t="shared" si="31"/>
        <v>7.7926336633663373</v>
      </c>
      <c r="AZ18" s="12">
        <f t="shared" si="32"/>
        <v>7.5788639049504969</v>
      </c>
      <c r="BA18" s="12"/>
    </row>
    <row r="19" spans="1:53" x14ac:dyDescent="0.2">
      <c r="P19">
        <f t="shared" si="36"/>
        <v>4.25</v>
      </c>
      <c r="Q19">
        <f t="shared" si="33"/>
        <v>170</v>
      </c>
      <c r="R19" s="12">
        <f t="shared" si="1"/>
        <v>35.272342196639258</v>
      </c>
      <c r="S19" s="12">
        <f t="shared" si="2"/>
        <v>5.3805506440432076</v>
      </c>
      <c r="T19" s="12">
        <f t="shared" si="3"/>
        <v>23.848888794241944</v>
      </c>
      <c r="U19" s="12">
        <f t="shared" si="4"/>
        <v>19.318655350734588</v>
      </c>
      <c r="V19" s="12">
        <f t="shared" si="5"/>
        <v>22.832562391588816</v>
      </c>
      <c r="W19" s="12">
        <f t="shared" si="6"/>
        <v>19.818525160795808</v>
      </c>
      <c r="X19" s="12">
        <f t="shared" si="7"/>
        <v>16.493867577834592</v>
      </c>
      <c r="Y19" s="12">
        <f t="shared" si="8"/>
        <v>19.182786704153049</v>
      </c>
      <c r="Z19" s="12">
        <f t="shared" si="9"/>
        <v>16.989670846792976</v>
      </c>
      <c r="AA19" s="12">
        <f t="shared" si="10"/>
        <v>15.388953805176529</v>
      </c>
      <c r="AB19" s="12">
        <f t="shared" si="11"/>
        <v>16.491792487528478</v>
      </c>
      <c r="AC19" s="12">
        <f t="shared" si="12"/>
        <v>16.353932390150227</v>
      </c>
      <c r="AD19" s="12">
        <f t="shared" si="13"/>
        <v>14.27397070535026</v>
      </c>
      <c r="AE19" s="12">
        <f t="shared" si="14"/>
        <v>15.439444742801193</v>
      </c>
      <c r="AF19" s="12">
        <f t="shared" si="15"/>
        <v>11.549016297039415</v>
      </c>
      <c r="AG19" s="12">
        <f t="shared" si="16"/>
        <v>12.020127581097892</v>
      </c>
      <c r="AH19" s="12">
        <f t="shared" si="34"/>
        <v>23.554931577600509</v>
      </c>
      <c r="AJ19">
        <f t="shared" si="35"/>
        <v>170</v>
      </c>
      <c r="AK19" s="12">
        <f t="shared" si="17"/>
        <v>17.704662376237629</v>
      </c>
      <c r="AL19" s="12">
        <f t="shared" si="18"/>
        <v>5.899340893781182</v>
      </c>
      <c r="AM19" s="12">
        <f t="shared" si="19"/>
        <v>12.497506364922209</v>
      </c>
      <c r="AN19" s="12">
        <f t="shared" si="20"/>
        <v>12.467291089108912</v>
      </c>
      <c r="AO19" s="12">
        <f t="shared" si="21"/>
        <v>12.831236237623768</v>
      </c>
      <c r="AP19" s="12">
        <f t="shared" si="22"/>
        <v>10.383196974257428</v>
      </c>
      <c r="AQ19" s="12">
        <f t="shared" si="23"/>
        <v>10.661513437057991</v>
      </c>
      <c r="AR19" s="12">
        <f t="shared" si="24"/>
        <v>9.6144370579915162</v>
      </c>
      <c r="AS19" s="12">
        <f t="shared" si="25"/>
        <v>9.6278150789250372</v>
      </c>
      <c r="AT19" s="12">
        <f t="shared" si="26"/>
        <v>9.0666329358346065</v>
      </c>
      <c r="AU19" s="12">
        <f t="shared" si="27"/>
        <v>9.4948678653465368</v>
      </c>
      <c r="AV19" s="12">
        <f t="shared" si="28"/>
        <v>10.075055162659126</v>
      </c>
      <c r="AW19" s="12">
        <f t="shared" si="29"/>
        <v>8.9026484594059418</v>
      </c>
      <c r="AX19" s="12">
        <f t="shared" si="30"/>
        <v>8.5799787835926455</v>
      </c>
      <c r="AY19" s="12">
        <f t="shared" si="31"/>
        <v>8.1036732673267338</v>
      </c>
      <c r="AZ19" s="12">
        <f t="shared" si="32"/>
        <v>7.8662644990099029</v>
      </c>
      <c r="BA19" s="12"/>
    </row>
    <row r="20" spans="1:53" x14ac:dyDescent="0.2">
      <c r="P20">
        <f t="shared" si="36"/>
        <v>4.5</v>
      </c>
      <c r="Q20">
        <f t="shared" si="33"/>
        <v>180</v>
      </c>
      <c r="R20" s="12">
        <f t="shared" si="1"/>
        <v>35.272342196639258</v>
      </c>
      <c r="S20" s="12">
        <f t="shared" si="2"/>
        <v>2.5074859119882511</v>
      </c>
      <c r="T20" s="12">
        <f t="shared" si="3"/>
        <v>23.848888794241944</v>
      </c>
      <c r="U20" s="12">
        <f t="shared" si="4"/>
        <v>19.318655350734588</v>
      </c>
      <c r="V20" s="12">
        <f t="shared" si="5"/>
        <v>22.832562391588816</v>
      </c>
      <c r="W20" s="12">
        <f t="shared" si="6"/>
        <v>19.818525160795808</v>
      </c>
      <c r="X20" s="12">
        <f t="shared" si="7"/>
        <v>16.493867577834592</v>
      </c>
      <c r="Y20" s="12">
        <f t="shared" si="8"/>
        <v>19.182786704153049</v>
      </c>
      <c r="Z20" s="12">
        <f t="shared" si="9"/>
        <v>16.989670846792976</v>
      </c>
      <c r="AA20" s="12">
        <f t="shared" si="10"/>
        <v>13.902908371215966</v>
      </c>
      <c r="AB20" s="12">
        <f t="shared" si="11"/>
        <v>16.491792487528478</v>
      </c>
      <c r="AC20" s="12">
        <f t="shared" si="12"/>
        <v>16.353932390150227</v>
      </c>
      <c r="AD20" s="12">
        <f t="shared" si="13"/>
        <v>14.27397070535026</v>
      </c>
      <c r="AE20" s="12">
        <f t="shared" si="14"/>
        <v>15.439444742801193</v>
      </c>
      <c r="AF20" s="12">
        <f t="shared" si="15"/>
        <v>11.549016297039415</v>
      </c>
      <c r="AG20" s="12">
        <f t="shared" si="16"/>
        <v>12.020127581097892</v>
      </c>
      <c r="AH20" s="12">
        <f t="shared" si="34"/>
        <v>23.554931577600509</v>
      </c>
      <c r="AJ20">
        <f t="shared" si="35"/>
        <v>180</v>
      </c>
      <c r="AK20" s="12">
        <f t="shared" si="17"/>
        <v>18.444936633663371</v>
      </c>
      <c r="AL20" s="12">
        <f t="shared" si="18"/>
        <v>5.221577006054468</v>
      </c>
      <c r="AM20" s="12">
        <f t="shared" si="19"/>
        <v>13.021830268741162</v>
      </c>
      <c r="AN20" s="12">
        <f t="shared" si="20"/>
        <v>12.989837623762378</v>
      </c>
      <c r="AO20" s="12">
        <f t="shared" si="21"/>
        <v>13.345073663366339</v>
      </c>
      <c r="AP20" s="12">
        <f t="shared" si="22"/>
        <v>10.818652419801984</v>
      </c>
      <c r="AQ20" s="12">
        <f t="shared" si="23"/>
        <v>11.070308345120228</v>
      </c>
      <c r="AR20" s="12">
        <f t="shared" si="24"/>
        <v>10.014345120226309</v>
      </c>
      <c r="AS20" s="12">
        <f t="shared" si="25"/>
        <v>10.018836295332392</v>
      </c>
      <c r="AT20" s="12">
        <f t="shared" si="26"/>
        <v>8.6607151900011576</v>
      </c>
      <c r="AU20" s="12">
        <f t="shared" si="27"/>
        <v>9.8780686574257448</v>
      </c>
      <c r="AV20" s="12">
        <f t="shared" si="28"/>
        <v>10.43052899575672</v>
      </c>
      <c r="AW20" s="12">
        <f t="shared" si="29"/>
        <v>9.2510128158415874</v>
      </c>
      <c r="AX20" s="12">
        <f t="shared" si="30"/>
        <v>8.9265657708628012</v>
      </c>
      <c r="AY20" s="12">
        <f t="shared" si="31"/>
        <v>8.4147128712871311</v>
      </c>
      <c r="AZ20" s="12">
        <f t="shared" si="32"/>
        <v>8.1536650930693089</v>
      </c>
      <c r="BA20" s="12"/>
    </row>
    <row r="21" spans="1:53" x14ac:dyDescent="0.2">
      <c r="P21">
        <f t="shared" si="36"/>
        <v>4.75</v>
      </c>
      <c r="Q21">
        <f t="shared" si="33"/>
        <v>190</v>
      </c>
      <c r="R21" s="12">
        <f t="shared" si="1"/>
        <v>35.272342196639258</v>
      </c>
      <c r="S21" s="12">
        <f t="shared" si="2"/>
        <v>-0.12499194329873298</v>
      </c>
      <c r="T21" s="12">
        <f t="shared" si="3"/>
        <v>23.848888794241944</v>
      </c>
      <c r="U21" s="12">
        <f t="shared" si="4"/>
        <v>19.318655350734588</v>
      </c>
      <c r="V21" s="12">
        <f t="shared" si="5"/>
        <v>22.832562391588816</v>
      </c>
      <c r="W21" s="12">
        <f t="shared" si="6"/>
        <v>19.818525160795808</v>
      </c>
      <c r="X21" s="12">
        <f t="shared" si="7"/>
        <v>16.493867577834592</v>
      </c>
      <c r="Y21" s="12">
        <f t="shared" si="8"/>
        <v>19.182786704153049</v>
      </c>
      <c r="Z21" s="12">
        <f t="shared" si="9"/>
        <v>16.735162159535811</v>
      </c>
      <c r="AA21" s="12">
        <f t="shared" si="10"/>
        <v>12.556450810530697</v>
      </c>
      <c r="AB21" s="12">
        <f t="shared" si="11"/>
        <v>16.491792487528478</v>
      </c>
      <c r="AC21" s="12">
        <f t="shared" si="12"/>
        <v>16.353932390150227</v>
      </c>
      <c r="AD21" s="12">
        <f t="shared" si="13"/>
        <v>14.27397070535026</v>
      </c>
      <c r="AE21" s="12">
        <f t="shared" si="14"/>
        <v>15.439444742801193</v>
      </c>
      <c r="AF21" s="12">
        <f t="shared" si="15"/>
        <v>11.549016297039415</v>
      </c>
      <c r="AG21" s="12">
        <f t="shared" si="16"/>
        <v>12.020127581097892</v>
      </c>
      <c r="AH21" s="12">
        <f t="shared" si="34"/>
        <v>23.554931577600509</v>
      </c>
      <c r="AJ21">
        <f t="shared" si="35"/>
        <v>190</v>
      </c>
      <c r="AK21" s="12">
        <f t="shared" si="17"/>
        <v>19.18521089108911</v>
      </c>
      <c r="AL21" s="12">
        <f t="shared" si="18"/>
        <v>4.5641065357206534</v>
      </c>
      <c r="AM21" s="12">
        <f t="shared" si="19"/>
        <v>13.546154172560115</v>
      </c>
      <c r="AN21" s="12">
        <f t="shared" si="20"/>
        <v>13.512384158415845</v>
      </c>
      <c r="AO21" s="12">
        <f t="shared" si="21"/>
        <v>13.858911089108915</v>
      </c>
      <c r="AP21" s="12">
        <f t="shared" si="22"/>
        <v>11.254107865346535</v>
      </c>
      <c r="AQ21" s="12">
        <f t="shared" si="23"/>
        <v>11.479103253182462</v>
      </c>
      <c r="AR21" s="12">
        <f t="shared" si="24"/>
        <v>10.414253182461104</v>
      </c>
      <c r="AS21" s="12">
        <f t="shared" si="25"/>
        <v>10.273270113733371</v>
      </c>
      <c r="AT21" s="12">
        <f t="shared" si="26"/>
        <v>8.3028125791575214</v>
      </c>
      <c r="AU21" s="12">
        <f t="shared" si="27"/>
        <v>10.261269449504953</v>
      </c>
      <c r="AV21" s="12">
        <f t="shared" si="28"/>
        <v>10.786002828854317</v>
      </c>
      <c r="AW21" s="12">
        <f t="shared" si="29"/>
        <v>9.5993771722772294</v>
      </c>
      <c r="AX21" s="12">
        <f t="shared" si="30"/>
        <v>9.2731527581329569</v>
      </c>
      <c r="AY21" s="12">
        <f t="shared" si="31"/>
        <v>8.7257524752475266</v>
      </c>
      <c r="AZ21" s="12">
        <f t="shared" si="32"/>
        <v>8.4410656871287149</v>
      </c>
      <c r="BA21" s="12"/>
    </row>
    <row r="22" spans="1:53" ht="32" x14ac:dyDescent="0.2">
      <c r="D22" s="10" t="s">
        <v>23</v>
      </c>
      <c r="E22" s="10" t="s">
        <v>10</v>
      </c>
      <c r="F22" s="10" t="s">
        <v>52</v>
      </c>
      <c r="G22" s="10" t="s">
        <v>57</v>
      </c>
      <c r="H22" s="10" t="s">
        <v>55</v>
      </c>
      <c r="I22" s="10" t="s">
        <v>54</v>
      </c>
      <c r="J22" s="10" t="s">
        <v>53</v>
      </c>
      <c r="K22" s="10" t="s">
        <v>18</v>
      </c>
      <c r="M22" t="s">
        <v>56</v>
      </c>
      <c r="N22" t="s">
        <v>83</v>
      </c>
      <c r="P22">
        <f t="shared" si="36"/>
        <v>5</v>
      </c>
      <c r="Q22">
        <f t="shared" si="33"/>
        <v>200</v>
      </c>
      <c r="R22" s="12">
        <f t="shared" si="1"/>
        <v>35.272342196639258</v>
      </c>
      <c r="S22" s="12">
        <f t="shared" si="2"/>
        <v>-2.5458881604045782</v>
      </c>
      <c r="T22" s="12">
        <f t="shared" si="3"/>
        <v>23.848888794241944</v>
      </c>
      <c r="U22" s="12">
        <f t="shared" si="4"/>
        <v>19.318655350734588</v>
      </c>
      <c r="V22" s="12">
        <f t="shared" si="5"/>
        <v>22.832562391588816</v>
      </c>
      <c r="W22" s="12">
        <f t="shared" si="6"/>
        <v>19.818525160795808</v>
      </c>
      <c r="X22" s="12">
        <f t="shared" si="7"/>
        <v>16.493867577834592</v>
      </c>
      <c r="Y22" s="12">
        <f t="shared" si="8"/>
        <v>19.182786704153049</v>
      </c>
      <c r="Z22" s="12">
        <f t="shared" si="9"/>
        <v>15.27221778076783</v>
      </c>
      <c r="AA22" s="12">
        <f t="shared" si="10"/>
        <v>11.330795661009004</v>
      </c>
      <c r="AB22" s="12">
        <f t="shared" si="11"/>
        <v>16.491792487528478</v>
      </c>
      <c r="AC22" s="12">
        <f t="shared" si="12"/>
        <v>16.353932390150227</v>
      </c>
      <c r="AD22" s="12">
        <f t="shared" si="13"/>
        <v>14.27397070535026</v>
      </c>
      <c r="AE22" s="12">
        <f t="shared" si="14"/>
        <v>15.439444742801193</v>
      </c>
      <c r="AF22" s="12">
        <f t="shared" si="15"/>
        <v>11.549016297039415</v>
      </c>
      <c r="AG22" s="12">
        <f t="shared" si="16"/>
        <v>12.020127581097892</v>
      </c>
      <c r="AH22" s="12">
        <f t="shared" si="34"/>
        <v>23.554931577600509</v>
      </c>
      <c r="AJ22">
        <f t="shared" si="35"/>
        <v>200</v>
      </c>
      <c r="AK22" s="12">
        <f t="shared" si="17"/>
        <v>19.925485148514856</v>
      </c>
      <c r="AL22" s="12">
        <f t="shared" si="18"/>
        <v>3.9216902594753025</v>
      </c>
      <c r="AM22" s="12">
        <f t="shared" si="19"/>
        <v>14.070478076379068</v>
      </c>
      <c r="AN22" s="12">
        <f t="shared" si="20"/>
        <v>14.034930693069308</v>
      </c>
      <c r="AO22" s="12">
        <f t="shared" si="21"/>
        <v>14.372748514851489</v>
      </c>
      <c r="AP22" s="12">
        <f t="shared" si="22"/>
        <v>11.689563310891092</v>
      </c>
      <c r="AQ22" s="12">
        <f t="shared" si="23"/>
        <v>11.887898161244699</v>
      </c>
      <c r="AR22" s="12">
        <f t="shared" si="24"/>
        <v>10.814161244695899</v>
      </c>
      <c r="AS22" s="12">
        <f t="shared" si="25"/>
        <v>9.864278750014817</v>
      </c>
      <c r="AT22" s="12">
        <f t="shared" si="26"/>
        <v>7.9838912132102475</v>
      </c>
      <c r="AU22" s="12">
        <f t="shared" si="27"/>
        <v>10.644470241584161</v>
      </c>
      <c r="AV22" s="12">
        <f t="shared" si="28"/>
        <v>11.141476661951913</v>
      </c>
      <c r="AW22" s="12">
        <f t="shared" si="29"/>
        <v>9.9477415287128732</v>
      </c>
      <c r="AX22" s="12">
        <f t="shared" si="30"/>
        <v>9.6197397454031126</v>
      </c>
      <c r="AY22" s="12">
        <f t="shared" si="31"/>
        <v>9.0367920792079222</v>
      </c>
      <c r="AZ22" s="12">
        <f t="shared" si="32"/>
        <v>8.7284662811881208</v>
      </c>
      <c r="BA22" s="12"/>
    </row>
    <row r="23" spans="1:53" x14ac:dyDescent="0.2">
      <c r="A23" t="s">
        <v>58</v>
      </c>
      <c r="C23" s="1" t="s">
        <v>15</v>
      </c>
      <c r="D23">
        <f>VLOOKUP($C23,Database!$A$3:$K$300,4,FALSE)</f>
        <v>17</v>
      </c>
      <c r="E23">
        <f>VLOOKUP($C23,Database!$A$3:$K$300,5,FALSE)</f>
        <v>60</v>
      </c>
      <c r="F23">
        <f>VLOOKUP($C23,Database!$A$3:$K$300,6,FALSE)</f>
        <v>1.8</v>
      </c>
      <c r="G23">
        <f>VLOOKUP($C23,Database!$A$3:$K$300,7,FALSE)</f>
        <v>2</v>
      </c>
      <c r="H23">
        <f>VLOOKUP($C23,Database!$A$3:$K$300,8,FALSE)</f>
        <v>83.300000000000011</v>
      </c>
      <c r="I23">
        <f>VLOOKUP($C23,Database!$A$3:$K$300,9,FALSE)</f>
        <v>3.3</v>
      </c>
      <c r="J23">
        <f>VLOOKUP($C23,Database!$A$3:$K$300,10,FALSE)</f>
        <v>2</v>
      </c>
      <c r="K23">
        <f>VLOOKUP($C23,Database!$A$3:$K$300,11,FALSE)</f>
        <v>102</v>
      </c>
      <c r="M23">
        <f t="shared" ref="M23:M38" si="37">MIN($C$3,$C$4*$G23,$G23)</f>
        <v>1.6</v>
      </c>
      <c r="N23" s="2">
        <f>$C$9/($C$6*2)*2*PI()*(K23/(1000*100^2))*100</f>
        <v>11.856370674647881</v>
      </c>
      <c r="P23">
        <f t="shared" si="36"/>
        <v>5.25</v>
      </c>
      <c r="Q23">
        <f t="shared" si="33"/>
        <v>210</v>
      </c>
      <c r="R23" s="12">
        <f t="shared" si="1"/>
        <v>35.272342196639258</v>
      </c>
      <c r="S23" s="12">
        <f t="shared" si="2"/>
        <v>-4.7797256011841061</v>
      </c>
      <c r="T23" s="12">
        <f t="shared" si="3"/>
        <v>23.848888794241944</v>
      </c>
      <c r="U23" s="12">
        <f t="shared" si="4"/>
        <v>17.603886880093597</v>
      </c>
      <c r="V23" s="12">
        <f t="shared" si="5"/>
        <v>22.832562391588816</v>
      </c>
      <c r="W23" s="12">
        <f t="shared" si="6"/>
        <v>19.818525160795808</v>
      </c>
      <c r="X23" s="12">
        <f t="shared" si="7"/>
        <v>16.493867577834592</v>
      </c>
      <c r="Y23" s="12">
        <f t="shared" si="8"/>
        <v>19.182786704153049</v>
      </c>
      <c r="Z23" s="12">
        <f t="shared" si="9"/>
        <v>13.933451255302019</v>
      </c>
      <c r="AA23" s="12">
        <f t="shared" si="10"/>
        <v>10.210383554262778</v>
      </c>
      <c r="AB23" s="12">
        <f t="shared" si="11"/>
        <v>16.491792487528478</v>
      </c>
      <c r="AC23" s="12">
        <f t="shared" si="12"/>
        <v>16.353932390150227</v>
      </c>
      <c r="AD23" s="12">
        <f t="shared" si="13"/>
        <v>14.27397070535026</v>
      </c>
      <c r="AE23" s="12">
        <f t="shared" si="14"/>
        <v>15.439444742801193</v>
      </c>
      <c r="AF23" s="12">
        <f t="shared" si="15"/>
        <v>11.549016297039415</v>
      </c>
      <c r="AG23" s="12">
        <f t="shared" si="16"/>
        <v>12.020127581097892</v>
      </c>
      <c r="AH23" s="12">
        <f t="shared" si="34"/>
        <v>23.554931577600509</v>
      </c>
      <c r="AJ23">
        <f t="shared" si="35"/>
        <v>210</v>
      </c>
      <c r="AK23" s="12">
        <f t="shared" si="17"/>
        <v>20.665759405940602</v>
      </c>
      <c r="AL23" s="12">
        <f t="shared" si="18"/>
        <v>3.2903134995284891</v>
      </c>
      <c r="AM23" s="12">
        <f t="shared" si="19"/>
        <v>14.594801980198021</v>
      </c>
      <c r="AN23" s="12">
        <f t="shared" si="20"/>
        <v>13.631894869235168</v>
      </c>
      <c r="AO23" s="12">
        <f t="shared" si="21"/>
        <v>14.886585940594063</v>
      </c>
      <c r="AP23" s="12">
        <f t="shared" si="22"/>
        <v>12.125018756435646</v>
      </c>
      <c r="AQ23" s="12">
        <f t="shared" si="23"/>
        <v>12.296693069306933</v>
      </c>
      <c r="AR23" s="12">
        <f t="shared" si="24"/>
        <v>11.214069306930694</v>
      </c>
      <c r="AS23" s="12">
        <f t="shared" si="25"/>
        <v>9.4968864463598788</v>
      </c>
      <c r="AT23" s="12">
        <f t="shared" si="26"/>
        <v>7.6968913765830429</v>
      </c>
      <c r="AU23" s="12">
        <f t="shared" si="27"/>
        <v>11.027671033663369</v>
      </c>
      <c r="AV23" s="12">
        <f t="shared" si="28"/>
        <v>11.496950495049507</v>
      </c>
      <c r="AW23" s="12">
        <f t="shared" si="29"/>
        <v>10.296105885148517</v>
      </c>
      <c r="AX23" s="12">
        <f t="shared" si="30"/>
        <v>9.9663267326732701</v>
      </c>
      <c r="AY23" s="12">
        <f t="shared" si="31"/>
        <v>9.3478316831683177</v>
      </c>
      <c r="AZ23" s="12">
        <f t="shared" si="32"/>
        <v>9.0158668752475268</v>
      </c>
      <c r="BA23" s="12"/>
    </row>
    <row r="24" spans="1:53" x14ac:dyDescent="0.2">
      <c r="A24" t="s">
        <v>59</v>
      </c>
      <c r="C24" s="1" t="s">
        <v>25</v>
      </c>
      <c r="D24">
        <f>VLOOKUP($C24,Database!$A$3:$K$300,4,FALSE)</f>
        <v>17</v>
      </c>
      <c r="E24">
        <f>VLOOKUP($C24,Database!$A$3:$K$300,5,FALSE)</f>
        <v>62.8</v>
      </c>
      <c r="F24">
        <f>VLOOKUP($C24,Database!$A$3:$K$300,6,FALSE)</f>
        <v>1.8</v>
      </c>
      <c r="G24">
        <f>VLOOKUP($C24,Database!$A$3:$K$300,7,FALSE)</f>
        <v>1</v>
      </c>
      <c r="H24">
        <f>VLOOKUP($C24,Database!$A$3:$K$300,8,FALSE)</f>
        <v>82</v>
      </c>
      <c r="I24">
        <f>VLOOKUP($C24,Database!$A$3:$K$300,9,FALSE)</f>
        <v>14.6</v>
      </c>
      <c r="J24">
        <f>VLOOKUP($C24,Database!$A$3:$K$300,10,FALSE)</f>
        <v>5.6</v>
      </c>
      <c r="K24">
        <f>VLOOKUP($C24,Database!$A$3:$K$300,11,FALSE)</f>
        <v>123</v>
      </c>
      <c r="M24">
        <f t="shared" si="37"/>
        <v>0.8</v>
      </c>
      <c r="N24" s="2">
        <f t="shared" ref="N24:N38" si="38">$C$9/($C$6*2)*2*PI()*(K24/(1000*100^2))*100</f>
        <v>14.297388166487149</v>
      </c>
      <c r="P24">
        <f t="shared" si="36"/>
        <v>5.5</v>
      </c>
      <c r="Q24">
        <f t="shared" si="33"/>
        <v>220</v>
      </c>
      <c r="R24" s="12">
        <f t="shared" si="1"/>
        <v>35.272342196639258</v>
      </c>
      <c r="S24" s="12">
        <f t="shared" si="2"/>
        <v>-6.8473784082610072</v>
      </c>
      <c r="T24" s="12">
        <f t="shared" si="3"/>
        <v>23.848888794241944</v>
      </c>
      <c r="U24" s="12">
        <f t="shared" si="4"/>
        <v>15.763233834615525</v>
      </c>
      <c r="V24" s="12">
        <f t="shared" si="5"/>
        <v>22.832562391588816</v>
      </c>
      <c r="W24" s="12">
        <f t="shared" si="6"/>
        <v>19.818525160795808</v>
      </c>
      <c r="X24" s="12">
        <f t="shared" si="7"/>
        <v>15.767012106426284</v>
      </c>
      <c r="Y24" s="12">
        <f t="shared" si="8"/>
        <v>19.182786704153049</v>
      </c>
      <c r="Z24" s="12">
        <f t="shared" si="9"/>
        <v>12.703695564297581</v>
      </c>
      <c r="AA24" s="12">
        <f t="shared" si="10"/>
        <v>9.1822171889588535</v>
      </c>
      <c r="AB24" s="12">
        <f t="shared" si="11"/>
        <v>16.491792487528478</v>
      </c>
      <c r="AC24" s="12">
        <f t="shared" si="12"/>
        <v>16.353932390150227</v>
      </c>
      <c r="AD24" s="12">
        <f t="shared" si="13"/>
        <v>14.27397070535026</v>
      </c>
      <c r="AE24" s="12">
        <f t="shared" si="14"/>
        <v>15.439444742801193</v>
      </c>
      <c r="AF24" s="12">
        <f t="shared" si="15"/>
        <v>11.549016297039415</v>
      </c>
      <c r="AG24" s="12">
        <f t="shared" si="16"/>
        <v>12.020127581097892</v>
      </c>
      <c r="AH24" s="12">
        <f t="shared" si="34"/>
        <v>23.554931577600509</v>
      </c>
      <c r="AJ24">
        <f t="shared" si="35"/>
        <v>220</v>
      </c>
      <c r="AK24" s="12">
        <f t="shared" si="17"/>
        <v>21.40603366336634</v>
      </c>
      <c r="AL24" s="12">
        <f t="shared" si="18"/>
        <v>2.6668840819922637</v>
      </c>
      <c r="AM24" s="12">
        <f t="shared" si="19"/>
        <v>15.119125884016976</v>
      </c>
      <c r="AN24" s="12">
        <f t="shared" si="20"/>
        <v>13.126256550160496</v>
      </c>
      <c r="AO24" s="12">
        <f t="shared" si="21"/>
        <v>15.400423366336639</v>
      </c>
      <c r="AP24" s="12">
        <f t="shared" si="22"/>
        <v>12.560474201980199</v>
      </c>
      <c r="AQ24" s="12">
        <f t="shared" si="23"/>
        <v>12.249865398045547</v>
      </c>
      <c r="AR24" s="12">
        <f t="shared" si="24"/>
        <v>11.61397736916549</v>
      </c>
      <c r="AS24" s="12">
        <f t="shared" si="25"/>
        <v>9.1638986863374381</v>
      </c>
      <c r="AT24" s="12">
        <f t="shared" si="26"/>
        <v>7.4362377509069768</v>
      </c>
      <c r="AU24" s="12">
        <f t="shared" si="27"/>
        <v>11.410871825742577</v>
      </c>
      <c r="AV24" s="12">
        <f t="shared" si="28"/>
        <v>11.852424328147105</v>
      </c>
      <c r="AW24" s="12">
        <f t="shared" si="29"/>
        <v>10.644470241584161</v>
      </c>
      <c r="AX24" s="12">
        <f t="shared" si="30"/>
        <v>10.312913719943424</v>
      </c>
      <c r="AY24" s="12">
        <f t="shared" si="31"/>
        <v>9.6588712871287132</v>
      </c>
      <c r="AZ24" s="12">
        <f t="shared" si="32"/>
        <v>9.3032674693069328</v>
      </c>
      <c r="BA24" s="12"/>
    </row>
    <row r="25" spans="1:53" x14ac:dyDescent="0.2">
      <c r="A25" t="s">
        <v>60</v>
      </c>
      <c r="C25" s="1" t="s">
        <v>6</v>
      </c>
      <c r="D25">
        <f>VLOOKUP($C25,Database!$A$3:$K$300,4,FALSE)</f>
        <v>17</v>
      </c>
      <c r="E25">
        <f>VLOOKUP($C25,Database!$A$3:$K$300,5,FALSE)</f>
        <v>48</v>
      </c>
      <c r="F25">
        <f>VLOOKUP($C25,Database!$A$3:$K$300,6,FALSE)</f>
        <v>1.8</v>
      </c>
      <c r="G25">
        <f>VLOOKUP($C25,Database!$A$3:$K$300,7,FALSE)</f>
        <v>2</v>
      </c>
      <c r="H25">
        <f>VLOOKUP($C25,Database!$A$3:$K$300,8,FALSE)</f>
        <v>59</v>
      </c>
      <c r="I25">
        <f>VLOOKUP($C25,Database!$A$3:$K$300,9,FALSE)</f>
        <v>3</v>
      </c>
      <c r="J25">
        <f>VLOOKUP($C25,Database!$A$3:$K$300,10,FALSE)</f>
        <v>1.4</v>
      </c>
      <c r="K25">
        <f>VLOOKUP($C25,Database!$A$3:$K$300,11,FALSE)</f>
        <v>82</v>
      </c>
      <c r="M25">
        <f t="shared" si="37"/>
        <v>1.6</v>
      </c>
      <c r="N25" s="2">
        <f t="shared" si="38"/>
        <v>9.531592110991431</v>
      </c>
      <c r="P25">
        <f t="shared" si="36"/>
        <v>5.75</v>
      </c>
      <c r="Q25">
        <f t="shared" si="33"/>
        <v>230</v>
      </c>
      <c r="R25" s="12">
        <f t="shared" si="1"/>
        <v>35.272342196639258</v>
      </c>
      <c r="S25" s="12">
        <f t="shared" si="2"/>
        <v>-8.7667262772030341</v>
      </c>
      <c r="T25" s="12">
        <f t="shared" si="3"/>
        <v>23.848888794241944</v>
      </c>
      <c r="U25" s="12">
        <f t="shared" si="4"/>
        <v>14.06432769688397</v>
      </c>
      <c r="V25" s="12">
        <f t="shared" si="5"/>
        <v>22.832562391588816</v>
      </c>
      <c r="W25" s="12">
        <f t="shared" si="6"/>
        <v>19.818525160795808</v>
      </c>
      <c r="X25" s="12">
        <f t="shared" si="7"/>
        <v>14.458662933275766</v>
      </c>
      <c r="Y25" s="12">
        <f t="shared" si="8"/>
        <v>19.182786704153049</v>
      </c>
      <c r="Z25" s="12">
        <f t="shared" si="9"/>
        <v>11.570157050968154</v>
      </c>
      <c r="AA25" s="12">
        <f t="shared" si="10"/>
        <v>8.2353548312719251</v>
      </c>
      <c r="AB25" s="12">
        <f t="shared" si="11"/>
        <v>16.491792487528478</v>
      </c>
      <c r="AC25" s="12">
        <f t="shared" si="12"/>
        <v>16.353932390150227</v>
      </c>
      <c r="AD25" s="12">
        <f t="shared" si="13"/>
        <v>14.27397070535026</v>
      </c>
      <c r="AE25" s="12">
        <f t="shared" si="14"/>
        <v>15.439444742801193</v>
      </c>
      <c r="AF25" s="12">
        <f t="shared" si="15"/>
        <v>11.549016297039415</v>
      </c>
      <c r="AG25" s="12">
        <f t="shared" si="16"/>
        <v>12.020127581097892</v>
      </c>
      <c r="AH25" s="12">
        <f t="shared" si="34"/>
        <v>23.554931577600509</v>
      </c>
      <c r="AJ25">
        <f t="shared" si="35"/>
        <v>230</v>
      </c>
      <c r="AK25" s="12">
        <f t="shared" si="17"/>
        <v>22.146307920792083</v>
      </c>
      <c r="AL25" s="12">
        <f t="shared" si="18"/>
        <v>2.0490107013014534</v>
      </c>
      <c r="AM25" s="12">
        <f t="shared" si="19"/>
        <v>15.643449787835928</v>
      </c>
      <c r="AN25" s="12">
        <f t="shared" si="20"/>
        <v>12.66159970986161</v>
      </c>
      <c r="AO25" s="12">
        <f t="shared" si="21"/>
        <v>15.914260792079212</v>
      </c>
      <c r="AP25" s="12">
        <f t="shared" si="22"/>
        <v>12.995929647524756</v>
      </c>
      <c r="AQ25" s="12">
        <f t="shared" si="23"/>
        <v>11.82115878473757</v>
      </c>
      <c r="AR25" s="12">
        <f t="shared" si="24"/>
        <v>12.013885431400286</v>
      </c>
      <c r="AS25" s="12">
        <f t="shared" si="25"/>
        <v>8.8595645697411598</v>
      </c>
      <c r="AT25" s="12">
        <f t="shared" si="26"/>
        <v>7.1974848379028566</v>
      </c>
      <c r="AU25" s="12">
        <f t="shared" si="27"/>
        <v>11.794072617821785</v>
      </c>
      <c r="AV25" s="12">
        <f t="shared" si="28"/>
        <v>12.207898161244698</v>
      </c>
      <c r="AW25" s="12">
        <f t="shared" si="29"/>
        <v>10.992834598019805</v>
      </c>
      <c r="AX25" s="12">
        <f t="shared" si="30"/>
        <v>10.65950070721358</v>
      </c>
      <c r="AY25" s="12">
        <f t="shared" si="31"/>
        <v>9.9699108910891123</v>
      </c>
      <c r="AZ25" s="12">
        <f t="shared" si="32"/>
        <v>9.5906680633663388</v>
      </c>
      <c r="BA25" s="12"/>
    </row>
    <row r="26" spans="1:53" x14ac:dyDescent="0.2">
      <c r="A26" t="s">
        <v>61</v>
      </c>
      <c r="C26" s="1" t="s">
        <v>16</v>
      </c>
      <c r="D26">
        <f>VLOOKUP($C26,Database!$A$3:$K$300,4,FALSE)</f>
        <v>17</v>
      </c>
      <c r="E26">
        <f>VLOOKUP($C26,Database!$A$3:$K$300,5,FALSE)</f>
        <v>60</v>
      </c>
      <c r="F26">
        <f>VLOOKUP($C26,Database!$A$3:$K$300,6,FALSE)</f>
        <v>0.9</v>
      </c>
      <c r="G26">
        <f>VLOOKUP($C26,Database!$A$3:$K$300,7,FALSE)</f>
        <v>2</v>
      </c>
      <c r="H26">
        <f>VLOOKUP($C26,Database!$A$3:$K$300,8,FALSE)</f>
        <v>58.800000000000004</v>
      </c>
      <c r="I26">
        <f>VLOOKUP($C26,Database!$A$3:$K$300,9,FALSE)</f>
        <v>3</v>
      </c>
      <c r="J26">
        <f>VLOOKUP($C26,Database!$A$3:$K$300,10,FALSE)</f>
        <v>1.4</v>
      </c>
      <c r="K26">
        <f>VLOOKUP($C26,Database!$A$3:$K$300,11,FALSE)</f>
        <v>120</v>
      </c>
      <c r="M26">
        <f t="shared" si="37"/>
        <v>1.6</v>
      </c>
      <c r="N26" s="2">
        <f t="shared" si="38"/>
        <v>13.948671381938683</v>
      </c>
      <c r="P26">
        <f t="shared" si="36"/>
        <v>6</v>
      </c>
      <c r="Q26">
        <f t="shared" si="33"/>
        <v>240</v>
      </c>
      <c r="R26" s="12">
        <f t="shared" si="1"/>
        <v>34.353631296687894</v>
      </c>
      <c r="S26" s="12">
        <f t="shared" si="2"/>
        <v>-10.553172817470044</v>
      </c>
      <c r="T26" s="12">
        <f t="shared" si="3"/>
        <v>23.848888794241944</v>
      </c>
      <c r="U26" s="12">
        <f t="shared" si="4"/>
        <v>12.491401864241963</v>
      </c>
      <c r="V26" s="12">
        <f t="shared" si="5"/>
        <v>22.832562391588816</v>
      </c>
      <c r="W26" s="12">
        <f t="shared" si="6"/>
        <v>19.818525160795808</v>
      </c>
      <c r="X26" s="12">
        <f t="shared" si="7"/>
        <v>13.246952605073735</v>
      </c>
      <c r="Y26" s="12">
        <f t="shared" si="8"/>
        <v>19.182786704153049</v>
      </c>
      <c r="Z26" s="12">
        <f t="shared" si="9"/>
        <v>10.521968663046382</v>
      </c>
      <c r="AA26" s="12">
        <f t="shared" si="10"/>
        <v>7.3605194021692739</v>
      </c>
      <c r="AB26" s="12">
        <f t="shared" si="11"/>
        <v>16.491792487528478</v>
      </c>
      <c r="AC26" s="12">
        <f t="shared" si="12"/>
        <v>16.353932390150227</v>
      </c>
      <c r="AD26" s="12">
        <f t="shared" si="13"/>
        <v>14.27397070535026</v>
      </c>
      <c r="AE26" s="12">
        <f t="shared" si="14"/>
        <v>15.439444742801193</v>
      </c>
      <c r="AF26" s="12">
        <f t="shared" si="15"/>
        <v>11.549016297039415</v>
      </c>
      <c r="AG26" s="12">
        <f t="shared" si="16"/>
        <v>12.020127581097892</v>
      </c>
      <c r="AH26" s="12">
        <f t="shared" si="34"/>
        <v>23.554931577600509</v>
      </c>
      <c r="AJ26">
        <f t="shared" si="35"/>
        <v>240</v>
      </c>
      <c r="AK26" s="12">
        <f t="shared" si="17"/>
        <v>22.342577122662146</v>
      </c>
      <c r="AL26" s="12">
        <f t="shared" si="18"/>
        <v>1.4348385981864744</v>
      </c>
      <c r="AM26" s="12">
        <f t="shared" si="19"/>
        <v>16.167773691654883</v>
      </c>
      <c r="AN26" s="12">
        <f t="shared" si="20"/>
        <v>12.231280178935629</v>
      </c>
      <c r="AO26" s="12">
        <f t="shared" si="21"/>
        <v>16.428098217821788</v>
      </c>
      <c r="AP26" s="12">
        <f t="shared" si="22"/>
        <v>13.431385093069309</v>
      </c>
      <c r="AQ26" s="12">
        <f t="shared" si="23"/>
        <v>11.430620378329779</v>
      </c>
      <c r="AR26" s="12">
        <f t="shared" si="24"/>
        <v>12.413793493635081</v>
      </c>
      <c r="AS26" s="12">
        <f t="shared" si="25"/>
        <v>8.5792474978339879</v>
      </c>
      <c r="AT26" s="12">
        <f t="shared" si="26"/>
        <v>6.9770567177053735</v>
      </c>
      <c r="AU26" s="12">
        <f t="shared" si="27"/>
        <v>12.177273409900991</v>
      </c>
      <c r="AV26" s="12">
        <f t="shared" si="28"/>
        <v>12.563371994342294</v>
      </c>
      <c r="AW26" s="12">
        <f t="shared" si="29"/>
        <v>11.341198954455448</v>
      </c>
      <c r="AX26" s="12">
        <f t="shared" si="30"/>
        <v>11.006087694483737</v>
      </c>
      <c r="AY26" s="12">
        <f t="shared" si="31"/>
        <v>10.280950495049508</v>
      </c>
      <c r="AZ26" s="12">
        <f t="shared" si="32"/>
        <v>9.8780686574257448</v>
      </c>
      <c r="BA26" s="12"/>
    </row>
    <row r="27" spans="1:53" x14ac:dyDescent="0.2">
      <c r="A27" t="s">
        <v>62</v>
      </c>
      <c r="C27" s="1" t="s">
        <v>22</v>
      </c>
      <c r="D27">
        <f>VLOOKUP($C27,Database!$A$3:$K$300,4,FALSE)</f>
        <v>17</v>
      </c>
      <c r="E27">
        <f>VLOOKUP($C27,Database!$A$3:$K$300,5,FALSE)</f>
        <v>48</v>
      </c>
      <c r="F27">
        <f>VLOOKUP($C27,Database!$A$3:$K$300,6,FALSE)</f>
        <v>1.8</v>
      </c>
      <c r="G27">
        <f>VLOOKUP($C27,Database!$A$3:$K$300,7,FALSE)</f>
        <v>2</v>
      </c>
      <c r="H27">
        <f>VLOOKUP($C27,Database!$A$3:$K$300,8,FALSE)</f>
        <v>57.820000000000007</v>
      </c>
      <c r="I27">
        <f>VLOOKUP($C27,Database!$A$3:$K$300,9,FALSE)</f>
        <v>3</v>
      </c>
      <c r="J27">
        <f>VLOOKUP($C27,Database!$A$3:$K$300,10,FALSE)</f>
        <v>1.6</v>
      </c>
      <c r="K27">
        <f>VLOOKUP($C27,Database!$A$3:$K$300,11,FALSE)</f>
        <v>85</v>
      </c>
      <c r="M27">
        <f t="shared" si="37"/>
        <v>1.6</v>
      </c>
      <c r="N27" s="2">
        <f t="shared" si="38"/>
        <v>9.8803088955398994</v>
      </c>
      <c r="P27">
        <f t="shared" si="36"/>
        <v>6.25</v>
      </c>
      <c r="Q27">
        <f t="shared" si="33"/>
        <v>250</v>
      </c>
      <c r="R27" s="12">
        <f t="shared" si="1"/>
        <v>31.333985814460195</v>
      </c>
      <c r="S27" s="12">
        <f t="shared" si="2"/>
        <v>-12.220059838062983</v>
      </c>
      <c r="T27" s="12">
        <f t="shared" si="3"/>
        <v>23.848888794241944</v>
      </c>
      <c r="U27" s="12">
        <f t="shared" si="4"/>
        <v>11.030944442693775</v>
      </c>
      <c r="V27" s="12">
        <f t="shared" si="5"/>
        <v>22.832562391588816</v>
      </c>
      <c r="W27" s="12">
        <f t="shared" si="6"/>
        <v>19.818525160795808</v>
      </c>
      <c r="X27" s="12">
        <f t="shared" si="7"/>
        <v>12.121555387462779</v>
      </c>
      <c r="Y27" s="12">
        <f t="shared" si="8"/>
        <v>19.182786704153049</v>
      </c>
      <c r="Z27" s="12">
        <f t="shared" si="9"/>
        <v>9.5498404500646838</v>
      </c>
      <c r="AA27" s="12">
        <f t="shared" si="10"/>
        <v>6.5497935050806451</v>
      </c>
      <c r="AB27" s="12">
        <f t="shared" si="11"/>
        <v>16.314933246690316</v>
      </c>
      <c r="AC27" s="12">
        <f t="shared" si="12"/>
        <v>16.353932390150227</v>
      </c>
      <c r="AD27" s="12">
        <f t="shared" si="13"/>
        <v>14.27397070535026</v>
      </c>
      <c r="AE27" s="12">
        <f t="shared" si="14"/>
        <v>14.651954390671882</v>
      </c>
      <c r="AF27" s="12">
        <f t="shared" si="15"/>
        <v>11.331688314099146</v>
      </c>
      <c r="AG27" s="12">
        <f t="shared" si="16"/>
        <v>11.58698806985808</v>
      </c>
      <c r="AH27" s="12">
        <f t="shared" si="34"/>
        <v>23.554931577600509</v>
      </c>
      <c r="AJ27">
        <f t="shared" si="35"/>
        <v>250</v>
      </c>
      <c r="AK27" s="12">
        <f t="shared" si="17"/>
        <v>21.260351974843349</v>
      </c>
      <c r="AL27" s="12">
        <f t="shared" si="18"/>
        <v>0.82292657370492317</v>
      </c>
      <c r="AM27" s="12">
        <f t="shared" si="19"/>
        <v>16.692097595473836</v>
      </c>
      <c r="AN27" s="12">
        <f t="shared" si="20"/>
        <v>11.829891552633223</v>
      </c>
      <c r="AO27" s="12">
        <f t="shared" si="21"/>
        <v>16.94193564356436</v>
      </c>
      <c r="AP27" s="12">
        <f t="shared" si="22"/>
        <v>13.866840538613863</v>
      </c>
      <c r="AQ27" s="12">
        <f t="shared" si="23"/>
        <v>11.072447548424771</v>
      </c>
      <c r="AR27" s="12">
        <f t="shared" si="24"/>
        <v>12.813701555869876</v>
      </c>
      <c r="AS27" s="12">
        <f t="shared" si="25"/>
        <v>8.3191796251825387</v>
      </c>
      <c r="AT27" s="12">
        <f t="shared" si="26"/>
        <v>6.772053631342537</v>
      </c>
      <c r="AU27" s="12">
        <f t="shared" si="27"/>
        <v>12.447966782220172</v>
      </c>
      <c r="AV27" s="12">
        <f t="shared" si="28"/>
        <v>12.91884582743989</v>
      </c>
      <c r="AW27" s="12">
        <f t="shared" si="29"/>
        <v>11.689563310891092</v>
      </c>
      <c r="AX27" s="12">
        <f t="shared" si="30"/>
        <v>10.854994299476441</v>
      </c>
      <c r="AY27" s="12">
        <f t="shared" si="31"/>
        <v>10.445175753975782</v>
      </c>
      <c r="AZ27" s="12">
        <f t="shared" si="32"/>
        <v>9.8559403964953667</v>
      </c>
      <c r="BA27" s="12"/>
    </row>
    <row r="28" spans="1:53" x14ac:dyDescent="0.2">
      <c r="A28" t="s">
        <v>63</v>
      </c>
      <c r="C28" s="1" t="s">
        <v>14</v>
      </c>
      <c r="D28">
        <f>VLOOKUP($C28,Database!$A$3:$K$300,4,FALSE)</f>
        <v>17</v>
      </c>
      <c r="E28">
        <f>VLOOKUP($C28,Database!$A$3:$K$300,5,FALSE)</f>
        <v>48</v>
      </c>
      <c r="F28">
        <f>VLOOKUP($C28,Database!$A$3:$K$300,6,FALSE)</f>
        <v>1.8</v>
      </c>
      <c r="G28">
        <f>VLOOKUP($C28,Database!$A$3:$K$300,7,FALSE)</f>
        <v>1.68</v>
      </c>
      <c r="H28">
        <f>VLOOKUP($C28,Database!$A$3:$K$300,8,FALSE)</f>
        <v>49</v>
      </c>
      <c r="I28">
        <f>VLOOKUP($C28,Database!$A$3:$K$300,9,FALSE)</f>
        <v>2.8</v>
      </c>
      <c r="J28">
        <f>VLOOKUP($C28,Database!$A$3:$K$300,10,FALSE)</f>
        <v>1.65</v>
      </c>
      <c r="K28">
        <f>VLOOKUP($C28,Database!$A$3:$K$300,11,FALSE)</f>
        <v>68</v>
      </c>
      <c r="M28">
        <f t="shared" si="37"/>
        <v>1.3440000000000001</v>
      </c>
      <c r="N28" s="2">
        <f t="shared" si="38"/>
        <v>7.9042471164319199</v>
      </c>
      <c r="P28">
        <f t="shared" si="36"/>
        <v>6.5</v>
      </c>
      <c r="Q28">
        <f t="shared" si="33"/>
        <v>260</v>
      </c>
      <c r="R28" s="12">
        <f t="shared" si="1"/>
        <v>28.493458321822732</v>
      </c>
      <c r="S28" s="12">
        <f t="shared" si="2"/>
        <v>-13.779001147167682</v>
      </c>
      <c r="T28" s="12">
        <f t="shared" si="3"/>
        <v>23.848888794241944</v>
      </c>
      <c r="U28" s="12">
        <f t="shared" si="4"/>
        <v>9.6713091146302101</v>
      </c>
      <c r="V28" s="12">
        <f t="shared" si="5"/>
        <v>22.832562391588816</v>
      </c>
      <c r="W28" s="12">
        <f t="shared" si="6"/>
        <v>19.818525160795808</v>
      </c>
      <c r="X28" s="12">
        <f t="shared" si="7"/>
        <v>11.073566009503944</v>
      </c>
      <c r="Y28" s="12">
        <f t="shared" si="8"/>
        <v>19.182786704153049</v>
      </c>
      <c r="Z28" s="12">
        <f t="shared" si="9"/>
        <v>8.6457834802248339</v>
      </c>
      <c r="AA28" s="12">
        <f t="shared" si="10"/>
        <v>5.7963791305272352</v>
      </c>
      <c r="AB28" s="12">
        <f t="shared" si="11"/>
        <v>15.105364725774754</v>
      </c>
      <c r="AC28" s="12">
        <f t="shared" si="12"/>
        <v>16.353932390150227</v>
      </c>
      <c r="AD28" s="12">
        <f t="shared" si="13"/>
        <v>13.86346543258467</v>
      </c>
      <c r="AE28" s="12">
        <f t="shared" si="14"/>
        <v>13.663142153401473</v>
      </c>
      <c r="AF28" s="12">
        <f t="shared" si="15"/>
        <v>10.452596915944817</v>
      </c>
      <c r="AG28" s="12">
        <f t="shared" si="16"/>
        <v>10.779149154167573</v>
      </c>
      <c r="AH28" s="12">
        <f t="shared" si="34"/>
        <v>23.554931577600509</v>
      </c>
      <c r="AJ28">
        <f t="shared" si="35"/>
        <v>260</v>
      </c>
      <c r="AK28" s="12">
        <f t="shared" si="17"/>
        <v>20.231699831507367</v>
      </c>
      <c r="AL28" s="12">
        <f t="shared" si="18"/>
        <v>0.21215414031302934</v>
      </c>
      <c r="AM28" s="12">
        <f t="shared" si="19"/>
        <v>17.216421499292789</v>
      </c>
      <c r="AN28" s="12">
        <f t="shared" si="20"/>
        <v>11.453003644671893</v>
      </c>
      <c r="AO28" s="12">
        <f t="shared" si="21"/>
        <v>17.455773069306936</v>
      </c>
      <c r="AP28" s="12">
        <f t="shared" si="22"/>
        <v>14.30229598415842</v>
      </c>
      <c r="AQ28" s="12">
        <f t="shared" si="23"/>
        <v>10.74186496605115</v>
      </c>
      <c r="AR28" s="12">
        <f t="shared" si="24"/>
        <v>13.21360961810467</v>
      </c>
      <c r="AS28" s="12">
        <f t="shared" si="25"/>
        <v>8.0762766921242104</v>
      </c>
      <c r="AT28" s="12">
        <f t="shared" si="26"/>
        <v>6.5801065597365644</v>
      </c>
      <c r="AU28" s="12">
        <f t="shared" si="27"/>
        <v>12.048332010947705</v>
      </c>
      <c r="AV28" s="12">
        <f t="shared" si="28"/>
        <v>13.274319660537486</v>
      </c>
      <c r="AW28" s="12">
        <f t="shared" si="29"/>
        <v>11.760967679746686</v>
      </c>
      <c r="AX28" s="12">
        <f t="shared" si="30"/>
        <v>10.558464930810109</v>
      </c>
      <c r="AY28" s="12">
        <f t="shared" si="31"/>
        <v>10.152051435743843</v>
      </c>
      <c r="AZ28" s="12">
        <f t="shared" si="32"/>
        <v>9.5554779479070291</v>
      </c>
      <c r="BA28" s="12"/>
    </row>
    <row r="29" spans="1:53" x14ac:dyDescent="0.2">
      <c r="A29" t="s">
        <v>64</v>
      </c>
      <c r="C29" s="1" t="s">
        <v>7</v>
      </c>
      <c r="D29">
        <f>VLOOKUP($C29,Database!$A$3:$K$300,4,FALSE)</f>
        <v>17</v>
      </c>
      <c r="E29">
        <f>VLOOKUP($C29,Database!$A$3:$K$300,5,FALSE)</f>
        <v>48</v>
      </c>
      <c r="F29">
        <f>VLOOKUP($C29,Database!$A$3:$K$300,6,FALSE)</f>
        <v>0.9</v>
      </c>
      <c r="G29">
        <f>VLOOKUP($C29,Database!$A$3:$K$300,7,FALSE)</f>
        <v>2</v>
      </c>
      <c r="H29">
        <f>VLOOKUP($C29,Database!$A$3:$K$300,8,FALSE)</f>
        <v>46</v>
      </c>
      <c r="I29">
        <f>VLOOKUP($C29,Database!$A$3:$K$300,9,FALSE)</f>
        <v>3</v>
      </c>
      <c r="J29">
        <f>VLOOKUP($C29,Database!$A$3:$K$300,10,FALSE)</f>
        <v>1.45</v>
      </c>
      <c r="K29">
        <f>VLOOKUP($C29,Database!$A$3:$K$300,11,FALSE)</f>
        <v>82</v>
      </c>
      <c r="M29">
        <f t="shared" si="37"/>
        <v>1.6</v>
      </c>
      <c r="N29" s="2">
        <f t="shared" si="38"/>
        <v>9.531592110991431</v>
      </c>
      <c r="P29">
        <f t="shared" si="36"/>
        <v>6.75</v>
      </c>
      <c r="Q29">
        <f t="shared" si="33"/>
        <v>270</v>
      </c>
      <c r="R29" s="12">
        <f t="shared" si="1"/>
        <v>25.816570621169664</v>
      </c>
      <c r="S29" s="12">
        <f t="shared" si="2"/>
        <v>-14.297388166487149</v>
      </c>
      <c r="T29" s="12">
        <f t="shared" si="3"/>
        <v>23.848888794241944</v>
      </c>
      <c r="U29" s="12">
        <f t="shared" si="4"/>
        <v>8.4024039083661481</v>
      </c>
      <c r="V29" s="12">
        <f t="shared" si="5"/>
        <v>22.832562391588816</v>
      </c>
      <c r="W29" s="12">
        <f t="shared" si="6"/>
        <v>19.818525160795808</v>
      </c>
      <c r="X29" s="12">
        <f t="shared" si="7"/>
        <v>10.095263526538416</v>
      </c>
      <c r="Y29" s="12">
        <f t="shared" si="8"/>
        <v>19.182786704153049</v>
      </c>
      <c r="Z29" s="12">
        <f t="shared" si="9"/>
        <v>7.8028897918454216</v>
      </c>
      <c r="AA29" s="12">
        <f t="shared" si="10"/>
        <v>5.0944065816030975</v>
      </c>
      <c r="AB29" s="12">
        <f t="shared" si="11"/>
        <v>13.974463183718717</v>
      </c>
      <c r="AC29" s="12">
        <f t="shared" si="12"/>
        <v>16.353932390150227</v>
      </c>
      <c r="AD29" s="12">
        <f t="shared" si="13"/>
        <v>12.839360954473891</v>
      </c>
      <c r="AE29" s="12">
        <f t="shared" si="14"/>
        <v>12.741624907890955</v>
      </c>
      <c r="AF29" s="12">
        <f t="shared" si="15"/>
        <v>9.6331027527257547</v>
      </c>
      <c r="AG29" s="12">
        <f t="shared" si="16"/>
        <v>10.024663458782157</v>
      </c>
      <c r="AH29" s="12">
        <f t="shared" si="34"/>
        <v>23.554931577600509</v>
      </c>
      <c r="AJ29">
        <f t="shared" si="35"/>
        <v>270</v>
      </c>
      <c r="AK29" s="12">
        <f t="shared" si="17"/>
        <v>19.248770968049172</v>
      </c>
      <c r="AL29" s="12">
        <f t="shared" si="18"/>
        <v>0</v>
      </c>
      <c r="AM29" s="12">
        <f t="shared" si="19"/>
        <v>17.740745403111742</v>
      </c>
      <c r="AN29" s="12">
        <f t="shared" si="20"/>
        <v>11.096962575043637</v>
      </c>
      <c r="AO29" s="12">
        <f t="shared" si="21"/>
        <v>17.969610495049508</v>
      </c>
      <c r="AP29" s="12">
        <f t="shared" si="22"/>
        <v>14.737751429702975</v>
      </c>
      <c r="AQ29" s="12">
        <f t="shared" si="23"/>
        <v>10.434917012727146</v>
      </c>
      <c r="AR29" s="12">
        <f t="shared" si="24"/>
        <v>13.613517680339465</v>
      </c>
      <c r="AS29" s="12">
        <f t="shared" si="25"/>
        <v>7.8479969273951795</v>
      </c>
      <c r="AT29" s="12">
        <f t="shared" si="26"/>
        <v>6.3992667187864036</v>
      </c>
      <c r="AU29" s="12">
        <f t="shared" si="27"/>
        <v>11.675921838710092</v>
      </c>
      <c r="AV29" s="12">
        <f t="shared" si="28"/>
        <v>13.629793493635082</v>
      </c>
      <c r="AW29" s="12">
        <f t="shared" si="29"/>
        <v>11.404756773086252</v>
      </c>
      <c r="AX29" s="12">
        <f t="shared" si="30"/>
        <v>10.284574618536237</v>
      </c>
      <c r="AY29" s="12">
        <f t="shared" si="31"/>
        <v>9.8829704405665222</v>
      </c>
      <c r="AZ29" s="12">
        <f t="shared" si="32"/>
        <v>9.2793450610363344</v>
      </c>
      <c r="BA29" s="12"/>
    </row>
    <row r="30" spans="1:53" x14ac:dyDescent="0.2">
      <c r="A30" t="s">
        <v>65</v>
      </c>
      <c r="C30" s="1" t="s">
        <v>13</v>
      </c>
      <c r="D30">
        <f>VLOOKUP($C30,Database!$A$3:$K$300,4,FALSE)</f>
        <v>17</v>
      </c>
      <c r="E30">
        <f>VLOOKUP($C30,Database!$A$3:$K$300,5,FALSE)</f>
        <v>40</v>
      </c>
      <c r="F30">
        <f>VLOOKUP($C30,Database!$A$3:$K$300,6,FALSE)</f>
        <v>1.8</v>
      </c>
      <c r="G30">
        <f>VLOOKUP($C30,Database!$A$3:$K$300,7,FALSE)</f>
        <v>2</v>
      </c>
      <c r="H30">
        <f>VLOOKUP($C30,Database!$A$3:$K$300,8,FALSE)</f>
        <v>45</v>
      </c>
      <c r="I30">
        <f>VLOOKUP($C30,Database!$A$3:$K$300,9,FALSE)</f>
        <v>2.6</v>
      </c>
      <c r="J30">
        <f>VLOOKUP($C30,Database!$A$3:$K$300,10,FALSE)</f>
        <v>1.1000000000000001</v>
      </c>
      <c r="K30">
        <f>VLOOKUP($C30,Database!$A$3:$K$300,11,FALSE)</f>
        <v>54</v>
      </c>
      <c r="M30">
        <f t="shared" si="37"/>
        <v>1.6</v>
      </c>
      <c r="N30" s="2">
        <f t="shared" si="38"/>
        <v>6.2769021218724061</v>
      </c>
      <c r="P30">
        <f t="shared" si="36"/>
        <v>7</v>
      </c>
      <c r="Q30">
        <f t="shared" si="33"/>
        <v>280</v>
      </c>
      <c r="R30" s="12">
        <f t="shared" si="1"/>
        <v>23.289577949493935</v>
      </c>
      <c r="S30" s="12">
        <f t="shared" si="2"/>
        <v>-14.297388166487149</v>
      </c>
      <c r="T30" s="12">
        <f t="shared" si="3"/>
        <v>23.848888794241944</v>
      </c>
      <c r="U30" s="12">
        <f t="shared" si="4"/>
        <v>7.2154402622758287</v>
      </c>
      <c r="V30" s="12">
        <f t="shared" si="5"/>
        <v>22.832562391588816</v>
      </c>
      <c r="W30" s="12">
        <f t="shared" si="6"/>
        <v>19.818525160795808</v>
      </c>
      <c r="X30" s="12">
        <f t="shared" si="7"/>
        <v>9.1799207736433512</v>
      </c>
      <c r="Y30" s="12">
        <f t="shared" si="8"/>
        <v>19.182786704153049</v>
      </c>
      <c r="Z30" s="12">
        <f t="shared" si="9"/>
        <v>7.0151555451160039</v>
      </c>
      <c r="AA30" s="12">
        <f t="shared" si="10"/>
        <v>4.4387812461138481</v>
      </c>
      <c r="AB30" s="12">
        <f t="shared" si="11"/>
        <v>12.914795899406018</v>
      </c>
      <c r="AC30" s="12">
        <f t="shared" si="12"/>
        <v>16.353932390150227</v>
      </c>
      <c r="AD30" s="12">
        <f t="shared" si="13"/>
        <v>11.879763703240913</v>
      </c>
      <c r="AE30" s="12">
        <f t="shared" si="14"/>
        <v>11.880758946174442</v>
      </c>
      <c r="AF30" s="12">
        <f t="shared" si="15"/>
        <v>8.8673440089017674</v>
      </c>
      <c r="AG30" s="12">
        <f t="shared" si="16"/>
        <v>9.3184144232027535</v>
      </c>
      <c r="AH30" s="12">
        <f t="shared" si="34"/>
        <v>23.554931577600509</v>
      </c>
      <c r="AJ30">
        <f t="shared" si="35"/>
        <v>280</v>
      </c>
      <c r="AK30" s="12">
        <f t="shared" si="17"/>
        <v>18.304945316651541</v>
      </c>
      <c r="AL30" s="12">
        <f t="shared" si="18"/>
        <v>0</v>
      </c>
      <c r="AM30" s="12">
        <f t="shared" si="19"/>
        <v>18.265069306930695</v>
      </c>
      <c r="AN30" s="12">
        <f t="shared" si="20"/>
        <v>10.758736532987129</v>
      </c>
      <c r="AO30" s="12">
        <f t="shared" si="21"/>
        <v>18.483447920792084</v>
      </c>
      <c r="AP30" s="12">
        <f t="shared" si="22"/>
        <v>15.173206875247526</v>
      </c>
      <c r="AQ30" s="12">
        <f t="shared" si="23"/>
        <v>10.148307147444676</v>
      </c>
      <c r="AR30" s="12">
        <f t="shared" si="24"/>
        <v>14.01342574257426</v>
      </c>
      <c r="AS30" s="12">
        <f t="shared" si="25"/>
        <v>7.6322324895877829</v>
      </c>
      <c r="AT30" s="12">
        <f t="shared" si="26"/>
        <v>6.2279207558902048</v>
      </c>
      <c r="AU30" s="12">
        <f t="shared" si="27"/>
        <v>11.326951081994867</v>
      </c>
      <c r="AV30" s="12">
        <f t="shared" si="28"/>
        <v>13.985267326732675</v>
      </c>
      <c r="AW30" s="12">
        <f t="shared" si="29"/>
        <v>11.072895535631702</v>
      </c>
      <c r="AX30" s="12">
        <f t="shared" si="30"/>
        <v>10.030160365332074</v>
      </c>
      <c r="AY30" s="12">
        <f t="shared" si="31"/>
        <v>9.6346169419109042</v>
      </c>
      <c r="AZ30" s="12">
        <f t="shared" si="32"/>
        <v>9.0242343296347975</v>
      </c>
      <c r="BA30" s="12"/>
    </row>
    <row r="31" spans="1:53" x14ac:dyDescent="0.2">
      <c r="A31" t="s">
        <v>66</v>
      </c>
      <c r="C31" s="1" t="s">
        <v>8</v>
      </c>
      <c r="D31">
        <f>VLOOKUP($C31,Database!$A$3:$K$300,4,FALSE)</f>
        <v>17</v>
      </c>
      <c r="E31">
        <f>VLOOKUP($C31,Database!$A$3:$K$300,5,FALSE)</f>
        <v>48</v>
      </c>
      <c r="F31">
        <f>VLOOKUP($C31,Database!$A$3:$K$300,6,FALSE)</f>
        <v>0.9</v>
      </c>
      <c r="G31">
        <f>VLOOKUP($C31,Database!$A$3:$K$300,7,FALSE)</f>
        <v>1.68</v>
      </c>
      <c r="H31">
        <f>VLOOKUP($C31,Database!$A$3:$K$300,8,FALSE)</f>
        <v>44</v>
      </c>
      <c r="I31">
        <f>VLOOKUP($C31,Database!$A$3:$K$300,9,FALSE)</f>
        <v>4.0999999999999996</v>
      </c>
      <c r="J31">
        <f>VLOOKUP($C31,Database!$A$3:$K$300,10,FALSE)</f>
        <v>1.65</v>
      </c>
      <c r="K31">
        <f>VLOOKUP($C31,Database!$A$3:$K$300,11,FALSE)</f>
        <v>68</v>
      </c>
      <c r="M31">
        <f t="shared" si="37"/>
        <v>1.3440000000000001</v>
      </c>
      <c r="N31" s="2">
        <f t="shared" si="38"/>
        <v>7.9042471164319199</v>
      </c>
      <c r="P31">
        <f t="shared" si="36"/>
        <v>7.25</v>
      </c>
      <c r="Q31">
        <f t="shared" si="33"/>
        <v>290</v>
      </c>
      <c r="R31" s="12">
        <f t="shared" si="1"/>
        <v>20.900232923891675</v>
      </c>
      <c r="S31" s="12">
        <f t="shared" si="2"/>
        <v>-14.297388166487149</v>
      </c>
      <c r="T31" s="12">
        <f t="shared" si="3"/>
        <v>23.848888794241944</v>
      </c>
      <c r="U31" s="12">
        <f t="shared" si="4"/>
        <v>6.1027291821105454</v>
      </c>
      <c r="V31" s="12">
        <f t="shared" si="5"/>
        <v>22.832562391588816</v>
      </c>
      <c r="W31" s="12">
        <f t="shared" si="6"/>
        <v>19.818525160795808</v>
      </c>
      <c r="X31" s="12">
        <f t="shared" si="7"/>
        <v>8.321649460705947</v>
      </c>
      <c r="Y31" s="12">
        <f t="shared" si="8"/>
        <v>19.182786704153049</v>
      </c>
      <c r="Z31" s="12">
        <f t="shared" si="9"/>
        <v>6.2773377929730128</v>
      </c>
      <c r="AA31" s="12">
        <f t="shared" si="10"/>
        <v>3.8250597490726612</v>
      </c>
      <c r="AB31" s="12">
        <f t="shared" si="11"/>
        <v>11.919837920082747</v>
      </c>
      <c r="AC31" s="12">
        <f t="shared" si="12"/>
        <v>16.353932390150227</v>
      </c>
      <c r="AD31" s="12">
        <f t="shared" si="13"/>
        <v>10.978764912219264</v>
      </c>
      <c r="AE31" s="12">
        <f t="shared" si="14"/>
        <v>11.074747232405166</v>
      </c>
      <c r="AF31" s="12">
        <f t="shared" si="15"/>
        <v>8.1502032009413519</v>
      </c>
      <c r="AG31" s="12">
        <f t="shared" si="16"/>
        <v>8.6559194569077462</v>
      </c>
      <c r="AH31" s="12">
        <f t="shared" si="34"/>
        <v>23.554931577600509</v>
      </c>
      <c r="AJ31">
        <f t="shared" si="35"/>
        <v>290</v>
      </c>
      <c r="AK31" s="12">
        <f t="shared" si="17"/>
        <v>17.394618578044806</v>
      </c>
      <c r="AL31" s="12">
        <f t="shared" si="18"/>
        <v>0</v>
      </c>
      <c r="AM31" s="12">
        <f t="shared" si="19"/>
        <v>18.789393210749648</v>
      </c>
      <c r="AN31" s="12">
        <f t="shared" si="20"/>
        <v>10.435795741316868</v>
      </c>
      <c r="AO31" s="12">
        <f t="shared" si="21"/>
        <v>18.99728534653466</v>
      </c>
      <c r="AP31" s="12">
        <f t="shared" si="22"/>
        <v>15.608662320792083</v>
      </c>
      <c r="AQ31" s="12">
        <f t="shared" si="23"/>
        <v>9.8792725299126651</v>
      </c>
      <c r="AR31" s="12">
        <f t="shared" si="24"/>
        <v>14.413333804809055</v>
      </c>
      <c r="AS31" s="12">
        <f t="shared" si="25"/>
        <v>7.4272251917335046</v>
      </c>
      <c r="AT31" s="12">
        <f t="shared" si="26"/>
        <v>6.0647250726915765</v>
      </c>
      <c r="AU31" s="12">
        <f t="shared" si="27"/>
        <v>10.998240458502622</v>
      </c>
      <c r="AV31" s="12">
        <f t="shared" si="28"/>
        <v>14.340741159830273</v>
      </c>
      <c r="AW31" s="12">
        <f t="shared" si="29"/>
        <v>10.762129299707855</v>
      </c>
      <c r="AX31" s="12">
        <f t="shared" si="30"/>
        <v>9.7925767556635908</v>
      </c>
      <c r="AY31" s="12">
        <f t="shared" si="31"/>
        <v>9.4042130796318784</v>
      </c>
      <c r="AZ31" s="12">
        <f t="shared" si="32"/>
        <v>8.7873651237733945</v>
      </c>
      <c r="BA31" s="12"/>
    </row>
    <row r="32" spans="1:53" x14ac:dyDescent="0.2">
      <c r="A32" t="s">
        <v>67</v>
      </c>
      <c r="C32" s="1" t="s">
        <v>80</v>
      </c>
      <c r="D32">
        <f>VLOOKUP($C32,Database!$A$3:$K$300,4,FALSE)</f>
        <v>17</v>
      </c>
      <c r="E32">
        <f>VLOOKUP($C32,Database!$A$3:$K$300,5,FALSE)</f>
        <v>47.5</v>
      </c>
      <c r="F32">
        <f>VLOOKUP($C32,Database!$A$3:$K$300,6,FALSE)</f>
        <v>0.9</v>
      </c>
      <c r="G32">
        <f>VLOOKUP($C32,Database!$A$3:$K$300,7,FALSE)</f>
        <v>1.68</v>
      </c>
      <c r="H32">
        <f>VLOOKUP($C32,Database!$A$3:$K$300,8,FALSE)</f>
        <v>44</v>
      </c>
      <c r="I32">
        <f>VLOOKUP($C32,Database!$A$3:$K$300,9,FALSE)</f>
        <v>5</v>
      </c>
      <c r="J32">
        <f>VLOOKUP($C32,Database!$A$3:$K$300,10,FALSE)</f>
        <v>1.8</v>
      </c>
      <c r="K32">
        <f>VLOOKUP($C32,Database!$A$3:$K$300,11,FALSE)</f>
        <v>68</v>
      </c>
      <c r="M32">
        <f t="shared" si="37"/>
        <v>1.3440000000000001</v>
      </c>
      <c r="N32" s="2">
        <f t="shared" si="38"/>
        <v>7.9042471164319199</v>
      </c>
      <c r="P32">
        <f t="shared" si="36"/>
        <v>7.5</v>
      </c>
      <c r="Q32">
        <f t="shared" si="33"/>
        <v>300</v>
      </c>
      <c r="R32" s="12">
        <f t="shared" si="1"/>
        <v>18.637587038656793</v>
      </c>
      <c r="S32" s="12">
        <f t="shared" si="2"/>
        <v>-14.297388166487149</v>
      </c>
      <c r="T32" s="12">
        <f t="shared" si="3"/>
        <v>23.848888794241944</v>
      </c>
      <c r="U32" s="12">
        <f t="shared" si="4"/>
        <v>5.0575144932434295</v>
      </c>
      <c r="V32" s="12">
        <f t="shared" si="5"/>
        <v>22.832562391588816</v>
      </c>
      <c r="W32" s="12">
        <f t="shared" si="6"/>
        <v>19.818525160795808</v>
      </c>
      <c r="X32" s="12">
        <f t="shared" si="7"/>
        <v>7.5152733663919111</v>
      </c>
      <c r="Y32" s="12">
        <f t="shared" si="8"/>
        <v>19.182786704153049</v>
      </c>
      <c r="Z32" s="12">
        <f t="shared" si="9"/>
        <v>5.5848376438612934</v>
      </c>
      <c r="AA32" s="12">
        <f t="shared" si="10"/>
        <v>3.2493491166961661</v>
      </c>
      <c r="AB32" s="12">
        <f t="shared" si="11"/>
        <v>10.983837583610425</v>
      </c>
      <c r="AC32" s="12">
        <f t="shared" si="12"/>
        <v>16.353932390150227</v>
      </c>
      <c r="AD32" s="12">
        <f t="shared" si="13"/>
        <v>10.131156079401</v>
      </c>
      <c r="AE32" s="12">
        <f t="shared" si="14"/>
        <v>10.318508692724166</v>
      </c>
      <c r="AF32" s="12">
        <f t="shared" si="15"/>
        <v>7.477192668510213</v>
      </c>
      <c r="AG32" s="12">
        <f t="shared" si="16"/>
        <v>8.0332346990935335</v>
      </c>
      <c r="AH32" s="12">
        <f t="shared" si="34"/>
        <v>23.554931577600509</v>
      </c>
      <c r="AJ32">
        <f t="shared" si="35"/>
        <v>300</v>
      </c>
      <c r="AK32" s="12">
        <f t="shared" si="17"/>
        <v>16.513029549970028</v>
      </c>
      <c r="AL32" s="12">
        <f t="shared" si="18"/>
        <v>0</v>
      </c>
      <c r="AM32" s="12">
        <f t="shared" si="19"/>
        <v>19.313717114568604</v>
      </c>
      <c r="AN32" s="12">
        <f t="shared" si="20"/>
        <v>10.126018278913843</v>
      </c>
      <c r="AO32" s="12">
        <f t="shared" si="21"/>
        <v>19.511122772277233</v>
      </c>
      <c r="AP32" s="12">
        <f t="shared" si="22"/>
        <v>16.04411776633664</v>
      </c>
      <c r="AQ32" s="12">
        <f t="shared" si="23"/>
        <v>9.6254853696562144</v>
      </c>
      <c r="AR32" s="12">
        <f t="shared" si="24"/>
        <v>14.81324186704385</v>
      </c>
      <c r="AS32" s="12">
        <f t="shared" si="25"/>
        <v>7.231500529051325</v>
      </c>
      <c r="AT32" s="12">
        <f t="shared" si="26"/>
        <v>5.9085545260275012</v>
      </c>
      <c r="AU32" s="12">
        <f t="shared" si="27"/>
        <v>10.687106183876098</v>
      </c>
      <c r="AV32" s="12">
        <f t="shared" si="28"/>
        <v>14.696214992927867</v>
      </c>
      <c r="AW32" s="12">
        <f t="shared" si="29"/>
        <v>10.469706910564433</v>
      </c>
      <c r="AX32" s="12">
        <f t="shared" si="30"/>
        <v>9.5695989215624397</v>
      </c>
      <c r="AY32" s="12">
        <f t="shared" si="31"/>
        <v>9.1894187644790044</v>
      </c>
      <c r="AZ32" s="12">
        <f t="shared" si="32"/>
        <v>8.5663874087953324</v>
      </c>
      <c r="BA32" s="12"/>
    </row>
    <row r="33" spans="1:53" x14ac:dyDescent="0.2">
      <c r="A33" t="s">
        <v>68</v>
      </c>
      <c r="C33" s="1" t="s">
        <v>92</v>
      </c>
      <c r="D33">
        <f>VLOOKUP($C33,Database!$A$3:$K$300,4,FALSE)</f>
        <v>17</v>
      </c>
      <c r="E33">
        <f>VLOOKUP($C33,Database!$A$3:$K$300,5,FALSE)</f>
        <v>48</v>
      </c>
      <c r="F33">
        <f>VLOOKUP($C33,Database!$A$3:$K$300,6,FALSE)</f>
        <v>0.9</v>
      </c>
      <c r="G33">
        <f>VLOOKUP($C33,Database!$A$3:$K$300,7,FALSE)</f>
        <v>1.68</v>
      </c>
      <c r="H33">
        <f>VLOOKUP($C33,Database!$A$3:$K$300,8,FALSE)</f>
        <v>43.120000000000005</v>
      </c>
      <c r="I33">
        <f>VLOOKUP($C33,Database!$A$3:$K$300,9,FALSE)</f>
        <v>2.8</v>
      </c>
      <c r="J33">
        <f>VLOOKUP($C33,Database!$A$3:$K$300,10,FALSE)</f>
        <v>1.65</v>
      </c>
      <c r="K33">
        <f>VLOOKUP($C33,Database!$A$3:$K$300,11,FALSE)</f>
        <v>68</v>
      </c>
      <c r="M33">
        <f t="shared" si="37"/>
        <v>1.3440000000000001</v>
      </c>
      <c r="N33" s="2">
        <f t="shared" si="38"/>
        <v>7.9042471164319199</v>
      </c>
      <c r="P33">
        <f t="shared" si="36"/>
        <v>7.75</v>
      </c>
      <c r="Q33">
        <f t="shared" si="33"/>
        <v>310</v>
      </c>
      <c r="R33" s="12">
        <f t="shared" si="1"/>
        <v>16.491822924641021</v>
      </c>
      <c r="S33" s="12">
        <f t="shared" si="2"/>
        <v>-14.297388166487149</v>
      </c>
      <c r="T33" s="12">
        <f t="shared" si="3"/>
        <v>23.644777165957954</v>
      </c>
      <c r="U33" s="12">
        <f t="shared" si="4"/>
        <v>4.0738355441261991</v>
      </c>
      <c r="V33" s="12">
        <f t="shared" si="5"/>
        <v>22.368770902719568</v>
      </c>
      <c r="W33" s="12">
        <f t="shared" si="6"/>
        <v>19.818525160795808</v>
      </c>
      <c r="X33" s="12">
        <f t="shared" si="7"/>
        <v>6.7562238590283652</v>
      </c>
      <c r="Y33" s="12">
        <f t="shared" si="8"/>
        <v>19.182786704153049</v>
      </c>
      <c r="Z33" s="12">
        <f t="shared" si="9"/>
        <v>4.9336043118599218</v>
      </c>
      <c r="AA33" s="12">
        <f t="shared" si="10"/>
        <v>2.7082241134708678</v>
      </c>
      <c r="AB33" s="12">
        <f t="shared" si="11"/>
        <v>10.101705258816102</v>
      </c>
      <c r="AC33" s="12">
        <f t="shared" si="12"/>
        <v>16.353932390150227</v>
      </c>
      <c r="AD33" s="12">
        <f t="shared" si="13"/>
        <v>9.332328214628868</v>
      </c>
      <c r="AE33" s="12">
        <f t="shared" si="14"/>
        <v>9.607570994856129</v>
      </c>
      <c r="AF33" s="12">
        <f t="shared" si="15"/>
        <v>6.8443605740394968</v>
      </c>
      <c r="AG33" s="12">
        <f t="shared" si="16"/>
        <v>7.4468764469418351</v>
      </c>
      <c r="AH33" s="12">
        <f t="shared" si="34"/>
        <v>23.554931577600509</v>
      </c>
      <c r="AJ33">
        <f t="shared" si="35"/>
        <v>310</v>
      </c>
      <c r="AK33" s="12">
        <f t="shared" si="17"/>
        <v>15.65611995375968</v>
      </c>
      <c r="AL33" s="12">
        <f t="shared" si="18"/>
        <v>0</v>
      </c>
      <c r="AM33" s="12">
        <f t="shared" si="19"/>
        <v>19.694956267155913</v>
      </c>
      <c r="AN33" s="12">
        <f t="shared" si="20"/>
        <v>9.8276156302638604</v>
      </c>
      <c r="AO33" s="12">
        <f t="shared" si="21"/>
        <v>19.683805096869005</v>
      </c>
      <c r="AP33" s="12">
        <f t="shared" si="22"/>
        <v>16.479573211881188</v>
      </c>
      <c r="AQ33" s="12">
        <f t="shared" si="23"/>
        <v>9.3849747168303121</v>
      </c>
      <c r="AR33" s="12">
        <f t="shared" si="24"/>
        <v>15.213149929278643</v>
      </c>
      <c r="AS33" s="12">
        <f t="shared" si="25"/>
        <v>7.0438156310044011</v>
      </c>
      <c r="AT33" s="12">
        <f t="shared" si="26"/>
        <v>5.7584620403092721</v>
      </c>
      <c r="AU33" s="12">
        <f t="shared" si="27"/>
        <v>10.391272091750615</v>
      </c>
      <c r="AV33" s="12">
        <f t="shared" si="28"/>
        <v>15.051688826025465</v>
      </c>
      <c r="AW33" s="12">
        <f t="shared" si="29"/>
        <v>10.193291821685698</v>
      </c>
      <c r="AX33" s="12">
        <f t="shared" si="30"/>
        <v>9.3593459323821939</v>
      </c>
      <c r="AY33" s="12">
        <f t="shared" si="31"/>
        <v>8.9882524567218685</v>
      </c>
      <c r="AZ33" s="12">
        <f t="shared" si="32"/>
        <v>8.3593052934554244</v>
      </c>
      <c r="BA33" s="12"/>
    </row>
    <row r="34" spans="1:53" x14ac:dyDescent="0.2">
      <c r="A34" t="s">
        <v>69</v>
      </c>
      <c r="C34" s="1" t="s">
        <v>17</v>
      </c>
      <c r="D34">
        <f>VLOOKUP($C34,Database!$A$3:$K$300,4,FALSE)</f>
        <v>14</v>
      </c>
      <c r="E34">
        <f>VLOOKUP($C34,Database!$A$3:$K$300,5,FALSE)</f>
        <v>52</v>
      </c>
      <c r="F34">
        <f>VLOOKUP($C34,Database!$A$3:$K$300,6,FALSE)</f>
        <v>1.8</v>
      </c>
      <c r="G34">
        <f>VLOOKUP($C34,Database!$A$3:$K$300,7,FALSE)</f>
        <v>1.5</v>
      </c>
      <c r="H34">
        <f>VLOOKUP($C34,Database!$A$3:$K$300,8,FALSE)</f>
        <v>40</v>
      </c>
      <c r="I34">
        <f>VLOOKUP($C34,Database!$A$3:$K$300,9,FALSE)</f>
        <v>3.8</v>
      </c>
      <c r="J34">
        <f>VLOOKUP($C34,Database!$A$3:$K$300,10,FALSE)</f>
        <v>2.8</v>
      </c>
      <c r="K34">
        <f>VLOOKUP($C34,Database!$A$3:$K$300,11,FALSE)</f>
        <v>54</v>
      </c>
      <c r="M34">
        <f t="shared" si="37"/>
        <v>1.2000000000000002</v>
      </c>
      <c r="N34" s="2">
        <f t="shared" si="38"/>
        <v>6.2769021218724061</v>
      </c>
      <c r="P34">
        <f t="shared" si="36"/>
        <v>8</v>
      </c>
      <c r="Q34">
        <f t="shared" si="33"/>
        <v>320</v>
      </c>
      <c r="R34" s="12">
        <f t="shared" si="1"/>
        <v>14.454111949101129</v>
      </c>
      <c r="S34" s="12">
        <f t="shared" si="2"/>
        <v>-14.297388166487149</v>
      </c>
      <c r="T34" s="12">
        <f t="shared" si="3"/>
        <v>22.005603382506678</v>
      </c>
      <c r="U34" s="12">
        <f t="shared" si="4"/>
        <v>3.146413465827683</v>
      </c>
      <c r="V34" s="12">
        <f t="shared" si="5"/>
        <v>20.81899410148413</v>
      </c>
      <c r="W34" s="12">
        <f t="shared" si="6"/>
        <v>19.818525160795808</v>
      </c>
      <c r="X34" s="12">
        <f t="shared" si="7"/>
        <v>6.0404532888314559</v>
      </c>
      <c r="Y34" s="12">
        <f t="shared" si="8"/>
        <v>19.182786704153049</v>
      </c>
      <c r="Z34" s="12">
        <f t="shared" si="9"/>
        <v>4.3200558237688398</v>
      </c>
      <c r="AA34" s="12">
        <f t="shared" si="10"/>
        <v>2.1986590426240067</v>
      </c>
      <c r="AB34" s="12">
        <f t="shared" si="11"/>
        <v>9.268920757944537</v>
      </c>
      <c r="AC34" s="12">
        <f t="shared" si="12"/>
        <v>15.896596612168885</v>
      </c>
      <c r="AD34" s="12">
        <f t="shared" si="13"/>
        <v>8.5781879955844449</v>
      </c>
      <c r="AE34" s="12">
        <f t="shared" si="14"/>
        <v>8.9379820357938229</v>
      </c>
      <c r="AF34" s="12">
        <f t="shared" si="15"/>
        <v>6.2482132496834488</v>
      </c>
      <c r="AG34" s="12">
        <f t="shared" si="16"/>
        <v>6.8937559454162036</v>
      </c>
      <c r="AH34" s="12">
        <f t="shared" si="34"/>
        <v>23.554931577600509</v>
      </c>
      <c r="AJ34">
        <f t="shared" si="35"/>
        <v>320</v>
      </c>
      <c r="AK34" s="12">
        <f t="shared" si="17"/>
        <v>14.820420045303976</v>
      </c>
      <c r="AL34" s="12">
        <f t="shared" si="18"/>
        <v>0</v>
      </c>
      <c r="AM34" s="12">
        <f t="shared" si="19"/>
        <v>19.050964393973238</v>
      </c>
      <c r="AN34" s="12">
        <f t="shared" si="20"/>
        <v>9.5390734118938969</v>
      </c>
      <c r="AO34" s="12">
        <f t="shared" si="21"/>
        <v>19.037975954718942</v>
      </c>
      <c r="AP34" s="12">
        <f t="shared" si="22"/>
        <v>16.915028657425747</v>
      </c>
      <c r="AQ34" s="12">
        <f t="shared" si="23"/>
        <v>9.1560640197952363</v>
      </c>
      <c r="AR34" s="12">
        <f t="shared" si="24"/>
        <v>15.613057991513438</v>
      </c>
      <c r="AS34" s="12">
        <f t="shared" si="25"/>
        <v>6.8631178985550045</v>
      </c>
      <c r="AT34" s="12">
        <f t="shared" si="26"/>
        <v>5.613646573802149</v>
      </c>
      <c r="AU34" s="12">
        <f t="shared" si="27"/>
        <v>10.108799208324113</v>
      </c>
      <c r="AV34" s="12">
        <f t="shared" si="28"/>
        <v>15.015972466765536</v>
      </c>
      <c r="AW34" s="12">
        <f t="shared" si="29"/>
        <v>9.9308907956438617</v>
      </c>
      <c r="AX34" s="12">
        <f t="shared" si="30"/>
        <v>9.1602198607854035</v>
      </c>
      <c r="AY34" s="12">
        <f t="shared" si="31"/>
        <v>8.7990280666147918</v>
      </c>
      <c r="AZ34" s="12">
        <f t="shared" si="32"/>
        <v>8.1644158347441493</v>
      </c>
      <c r="BA34" s="12"/>
    </row>
    <row r="35" spans="1:53" x14ac:dyDescent="0.2">
      <c r="A35" t="s">
        <v>70</v>
      </c>
      <c r="C35" s="1" t="s">
        <v>12</v>
      </c>
      <c r="D35">
        <f>VLOOKUP($C35,Database!$A$3:$K$300,4,FALSE)</f>
        <v>17</v>
      </c>
      <c r="E35">
        <f>VLOOKUP($C35,Database!$A$3:$K$300,5,FALSE)</f>
        <v>48</v>
      </c>
      <c r="F35">
        <f>VLOOKUP($C35,Database!$A$3:$K$300,6,FALSE)</f>
        <v>0.9</v>
      </c>
      <c r="G35">
        <f>VLOOKUP($C35,Database!$A$3:$K$300,7,FALSE)</f>
        <v>1.68</v>
      </c>
      <c r="H35">
        <f>VLOOKUP($C35,Database!$A$3:$K$300,8,FALSE)</f>
        <v>39.200000000000003</v>
      </c>
      <c r="I35">
        <f>VLOOKUP($C35,Database!$A$3:$K$300,9,FALSE)</f>
        <v>2.8</v>
      </c>
      <c r="J35">
        <f>VLOOKUP($C35,Database!$A$3:$K$300,10,FALSE)</f>
        <v>1.65</v>
      </c>
      <c r="K35">
        <f>VLOOKUP($C35,Database!$A$3:$K$300,11,FALSE)</f>
        <v>68</v>
      </c>
      <c r="M35">
        <f t="shared" si="37"/>
        <v>1.3440000000000001</v>
      </c>
      <c r="N35" s="2">
        <f t="shared" si="38"/>
        <v>7.9042471164319199</v>
      </c>
      <c r="P35">
        <f t="shared" si="36"/>
        <v>8.25</v>
      </c>
      <c r="Q35">
        <f t="shared" si="33"/>
        <v>330</v>
      </c>
      <c r="R35" s="12">
        <f t="shared" ref="R35:R66" si="39">SingleCoilTorque($F$23,$G$23,$H$23,$I$23,$J$23,$K$23,$C$2,$M$23,$P35)-$N$23</f>
        <v>12.516492799519959</v>
      </c>
      <c r="S35" s="12">
        <f t="shared" ref="S35:S66" si="40">SingleCoilTorque($F$24,$G$24,$H$24,$I$24,$J$24,$K$24,$C$2,$M$24,$P35)-$N$24</f>
        <v>-14.297388166487149</v>
      </c>
      <c r="T35" s="12">
        <f t="shared" ref="T35:T66" si="41">SingleCoilTorque($F$25,$G$25,$H$25,$I$25,$J$25,$K$25,$C$2,$M$25,$P35)-$N$25</f>
        <v>20.450615078803892</v>
      </c>
      <c r="U35" s="12">
        <f t="shared" ref="U35:U66" si="42">SingleCoilTorque($F$26,$G$26,$H$26,$I$26,$J$26,$K$26,$C$2,$M$26,$P35)-$N$26</f>
        <v>2.2705564036094312</v>
      </c>
      <c r="V35" s="12">
        <f t="shared" ref="V35:V66" si="43">SingleCoilTorque($F$27,$G$27,$H$27,$I$27,$J$27,$K$27,$C$2,$M$27,$P35)-$N$27</f>
        <v>19.347113515738435</v>
      </c>
      <c r="W35" s="12">
        <f t="shared" ref="W35:W66" si="44">SingleCoilTorque($F$28,$G$28,$H$28,$I$28,$J$28,$K$28,$C$2,$M$28,$P35)-$N$28</f>
        <v>19.818525160795808</v>
      </c>
      <c r="X35" s="12">
        <f t="shared" ref="X35:X66" si="45">SingleCoilTorque($F$29,$G$29,$H$29,$I$29,$J$29,$K$29,$C$2,$M$29,$P35)-$N$29</f>
        <v>5.3643627839200949</v>
      </c>
      <c r="Y35" s="12">
        <f t="shared" ref="Y35:Y66" si="46">SingleCoilTorque($F$30,$G$30,$H$30,$I$30,$J$30,$K$30,$C$2,$M$30,$P35)-$N$30</f>
        <v>19.182786704153049</v>
      </c>
      <c r="Z35" s="12">
        <f t="shared" ref="Z35:Z66" si="47">SingleCoilTorque($F$31,$G$31,$H$31,$I$31,$J$31,$K$31,$C$2,$M$31,$P35)-$N$31</f>
        <v>3.7410131044189612</v>
      </c>
      <c r="AA35" s="12">
        <f t="shared" ref="AA35:AA66" si="48">SingleCoilTorque($F$32,$G$32,$H$32,$I$32,$J$32,$K$32,$C$2,$M$32,$P35)-$N$32</f>
        <v>1.7179711412433285</v>
      </c>
      <c r="AB35" s="12">
        <f t="shared" ref="AB35:AB66" si="49">SingleCoilTorque($F$33,$G$33,$H$33,$I$33,$J$33,$K$33,$C$2,$M$33,$P35)-$N$33</f>
        <v>8.4814558647784128</v>
      </c>
      <c r="AC35" s="12">
        <f t="shared" ref="AC35:AC66" si="50">SingleCoilTorque($F$34,$G$34,$H$34,$I$34,$J$34,$K$34,$C$2,$M$34,$P35)-$N$34</f>
        <v>14.931739788596037</v>
      </c>
      <c r="AD35" s="12">
        <f t="shared" ref="AD35:AD66" si="51">SingleCoilTorque($F$35,$G$35,$H$35,$I$35,$J$35,$K$35,$C$2,$M$35,$P35)-$N$35</f>
        <v>7.8650876119911182</v>
      </c>
      <c r="AE35" s="12">
        <f t="shared" ref="AE35:AE66" si="52">SingleCoilTorque($F$36,$G$36,$H$36,$I$36,$J$36,$K$36,$C$2,$M$36,$P35)-$N$36</f>
        <v>8.3062364369138351</v>
      </c>
      <c r="AF35" s="12">
        <f t="shared" ref="AF35:AF66" si="53">SingleCoilTorque($F$37,$G$37,$H$37,$I$37,$J$37,$K$37,$C$2,$M$37,$P35)-$N$37</f>
        <v>5.68565066833564</v>
      </c>
      <c r="AG35" s="12">
        <f t="shared" ref="AG35:AG66" si="54">SingleCoilTorque($F$38,$G$38,$H$38,$I$38,$J$38,$K$38,$C$2,$M$38,$P35)-$N$38</f>
        <v>6.3711249607536358</v>
      </c>
      <c r="AH35" s="12">
        <f t="shared" si="34"/>
        <v>23.554931577600509</v>
      </c>
      <c r="AJ35">
        <f t="shared" si="35"/>
        <v>330</v>
      </c>
      <c r="AK35" s="12">
        <f t="shared" ref="AK35:AK66" si="55">StepperPower($F$23,$G$23,$H$23,$I$23,$J$23,$K$23,$C$2,$M$23,$P35)</f>
        <v>14.002954804750411</v>
      </c>
      <c r="AL35" s="12">
        <f t="shared" ref="AL35:AL66" si="56">StepperPower($F$24,$G$24,$H$24,$I$24,$J$24,$K$24,$C$2,$M$24,$P35)</f>
        <v>0</v>
      </c>
      <c r="AM35" s="12">
        <f t="shared" ref="AM35:AM66" si="57">StepperPower($F$25,$G$25,$H$25,$I$25,$J$25,$K$25,$C$2,$M$25,$P35)</f>
        <v>18.432614444431533</v>
      </c>
      <c r="AN35" s="12">
        <f t="shared" ref="AN35:AN66" si="58">StepperPower($F$26,$G$26,$H$26,$I$26,$J$26,$K$26,$C$2,$M$26,$P35)</f>
        <v>9.2591038675652158</v>
      </c>
      <c r="AO35" s="12">
        <f t="shared" ref="AO35:AO66" si="59">StepperPower($F$27,$G$27,$H$27,$I$27,$J$27,$K$27,$C$2,$M$27,$P35)</f>
        <v>18.419629292326039</v>
      </c>
      <c r="AP35" s="12">
        <f t="shared" ref="AP35:AP66" si="60">StepperPower($F$28,$G$28,$H$28,$I$28,$J$28,$K$28,$C$2,$M$28,$P35)</f>
        <v>17.350484102970302</v>
      </c>
      <c r="AQ35" s="12">
        <f t="shared" ref="AQ35:AQ66" si="61">StepperPower($F$29,$G$29,$H$29,$I$29,$J$29,$K$29,$C$2,$M$29,$P35)</f>
        <v>8.9373209395703288</v>
      </c>
      <c r="AR35" s="12">
        <f t="shared" ref="AR35:AR66" si="62">StepperPower($F$30,$G$30,$H$30,$I$30,$J$30,$K$30,$C$2,$M$30,$P35)</f>
        <v>16.012966053748233</v>
      </c>
      <c r="AS35" s="12">
        <f t="shared" ref="AS35:AS66" si="63">StepperPower($F$31,$G$31,$H$31,$I$31,$J$31,$K$31,$C$2,$M$31,$P35)</f>
        <v>6.6885119077727184</v>
      </c>
      <c r="AT35" s="12">
        <f t="shared" ref="AT35:AT66" si="64">StepperPower($F$32,$G$32,$H$32,$I$32,$J$32,$K$32,$C$2,$M$32,$P35)</f>
        <v>5.4734275337395317</v>
      </c>
      <c r="AU35" s="12">
        <f t="shared" ref="AU35:AU66" si="65">StepperPower($F$33,$G$33,$H$33,$I$33,$J$33,$K$33,$C$2,$M$33,$P35)</f>
        <v>9.8380289555215956</v>
      </c>
      <c r="AV35" s="12">
        <f t="shared" ref="AV35:AV66" si="66">StepperPower($F$34,$G$34,$H$34,$I$34,$J$34,$K$34,$C$2,$M$34,$P35)</f>
        <v>14.534602882428707</v>
      </c>
      <c r="AW35" s="12">
        <f t="shared" ref="AW35:AW66" si="67">StepperPower($F$35,$G$35,$H$35,$I$35,$J$35,$K$35,$C$2,$M$35,$P35)</f>
        <v>9.6807963596880047</v>
      </c>
      <c r="AX35" s="12">
        <f t="shared" ref="AX35:AX66" si="68">StepperPower($F$36,$G$36,$H$36,$I$36,$J$36,$K$36,$C$2,$M$36,$P35)</f>
        <v>8.9708569801845304</v>
      </c>
      <c r="AY35" s="12">
        <f t="shared" ref="AY35:AY66" si="69">StepperPower($F$37,$G$37,$H$37,$I$37,$J$37,$K$37,$C$2,$M$37,$P35)</f>
        <v>8.6203043485564077</v>
      </c>
      <c r="AZ35" s="12">
        <f t="shared" ref="AZ35:AZ66" si="70">StepperPower($F$38,$G$38,$H$38,$I$38,$J$38,$K$38,$C$2,$M$38,$P35)</f>
        <v>7.9802597327430558</v>
      </c>
      <c r="BA35" s="12"/>
    </row>
    <row r="36" spans="1:53" x14ac:dyDescent="0.2">
      <c r="A36" t="s">
        <v>71</v>
      </c>
      <c r="C36" s="1" t="s">
        <v>11</v>
      </c>
      <c r="D36">
        <f>VLOOKUP($C36,Database!$A$3:$K$300,4,FALSE)</f>
        <v>17</v>
      </c>
      <c r="E36">
        <f>VLOOKUP($C36,Database!$A$3:$K$300,5,FALSE)</f>
        <v>39.799999999999997</v>
      </c>
      <c r="F36">
        <f>VLOOKUP($C36,Database!$A$3:$K$300,6,FALSE)</f>
        <v>0.9</v>
      </c>
      <c r="G36">
        <f>VLOOKUP($C36,Database!$A$3:$K$300,7,FALSE)</f>
        <v>2</v>
      </c>
      <c r="H36">
        <f>VLOOKUP($C36,Database!$A$3:$K$300,8,FALSE)</f>
        <v>39</v>
      </c>
      <c r="I36">
        <f>VLOOKUP($C36,Database!$A$3:$K$300,9,FALSE)</f>
        <v>2.8</v>
      </c>
      <c r="J36">
        <f>VLOOKUP($C36,Database!$A$3:$K$300,10,FALSE)</f>
        <v>1.05</v>
      </c>
      <c r="K36">
        <f>VLOOKUP($C36,Database!$A$3:$K$300,11,FALSE)</f>
        <v>57</v>
      </c>
      <c r="M36">
        <f t="shared" si="37"/>
        <v>1.6</v>
      </c>
      <c r="N36" s="2">
        <f t="shared" si="38"/>
        <v>6.6256189064208728</v>
      </c>
      <c r="P36">
        <f t="shared" si="36"/>
        <v>8.5</v>
      </c>
      <c r="Q36">
        <f t="shared" si="33"/>
        <v>340</v>
      </c>
      <c r="R36" s="12">
        <f t="shared" si="39"/>
        <v>10.671767530332932</v>
      </c>
      <c r="S36" s="12">
        <f t="shared" si="40"/>
        <v>-14.297388166487149</v>
      </c>
      <c r="T36" s="12">
        <f t="shared" si="41"/>
        <v>18.973489169037066</v>
      </c>
      <c r="U36" s="12">
        <f t="shared" si="42"/>
        <v>1.4420801284169507</v>
      </c>
      <c r="V36" s="12">
        <f t="shared" si="43"/>
        <v>17.947400192326405</v>
      </c>
      <c r="W36" s="12">
        <f t="shared" si="44"/>
        <v>19.818525160795808</v>
      </c>
      <c r="X36" s="12">
        <f t="shared" si="45"/>
        <v>4.7247417307407513</v>
      </c>
      <c r="Y36" s="12">
        <f t="shared" si="46"/>
        <v>19.182786704153049</v>
      </c>
      <c r="Z36" s="12">
        <f t="shared" si="47"/>
        <v>3.1936448788755616</v>
      </c>
      <c r="AA36" s="12">
        <f t="shared" si="48"/>
        <v>1.2637733336639041</v>
      </c>
      <c r="AB36" s="12">
        <f t="shared" si="49"/>
        <v>7.7357091756414782</v>
      </c>
      <c r="AC36" s="12">
        <f t="shared" si="50"/>
        <v>14.011364819001322</v>
      </c>
      <c r="AD36" s="12">
        <f t="shared" si="51"/>
        <v>7.1897657599287932</v>
      </c>
      <c r="AE36" s="12">
        <f t="shared" si="52"/>
        <v>7.7092141594794095</v>
      </c>
      <c r="AF36" s="12">
        <f t="shared" si="53"/>
        <v>5.1539125218355473</v>
      </c>
      <c r="AG36" s="12">
        <f t="shared" si="54"/>
        <v>5.8765301129605723</v>
      </c>
      <c r="AH36" s="12">
        <f t="shared" si="34"/>
        <v>23.554931577600509</v>
      </c>
      <c r="AJ36">
        <f t="shared" si="35"/>
        <v>340</v>
      </c>
      <c r="AK36" s="12">
        <f t="shared" si="55"/>
        <v>13.201166642219071</v>
      </c>
      <c r="AL36" s="12">
        <f t="shared" si="56"/>
        <v>0</v>
      </c>
      <c r="AM36" s="12">
        <f t="shared" si="57"/>
        <v>17.836810583811619</v>
      </c>
      <c r="AN36" s="12">
        <f t="shared" si="58"/>
        <v>8.9866075572845325</v>
      </c>
      <c r="AO36" s="12">
        <f t="shared" si="59"/>
        <v>17.825522591157927</v>
      </c>
      <c r="AP36" s="12">
        <f t="shared" si="60"/>
        <v>17.785939548514854</v>
      </c>
      <c r="AQ36" s="12">
        <f t="shared" si="61"/>
        <v>8.727516763216487</v>
      </c>
      <c r="AR36" s="12">
        <f t="shared" si="62"/>
        <v>16.412874115983026</v>
      </c>
      <c r="AS36" s="12">
        <f t="shared" si="63"/>
        <v>6.5192327573712916</v>
      </c>
      <c r="AT36" s="12">
        <f t="shared" si="64"/>
        <v>5.3372242083337085</v>
      </c>
      <c r="AU36" s="12">
        <f t="shared" si="65"/>
        <v>9.5775370710242402</v>
      </c>
      <c r="AV36" s="12">
        <f t="shared" si="66"/>
        <v>14.075529962427007</v>
      </c>
      <c r="AW36" s="12">
        <f t="shared" si="67"/>
        <v>9.4415400839278085</v>
      </c>
      <c r="AX36" s="12">
        <f t="shared" si="68"/>
        <v>8.7900884231036507</v>
      </c>
      <c r="AY36" s="12">
        <f t="shared" si="69"/>
        <v>8.4508440517590344</v>
      </c>
      <c r="AZ36" s="12">
        <f t="shared" si="70"/>
        <v>7.805581359634842</v>
      </c>
      <c r="BA36" s="12"/>
    </row>
    <row r="37" spans="1:53" x14ac:dyDescent="0.2">
      <c r="A37" t="s">
        <v>72</v>
      </c>
      <c r="C37" s="1" t="s">
        <v>79</v>
      </c>
      <c r="D37">
        <f>VLOOKUP($C37,Database!$A$3:$K$300,4,FALSE)</f>
        <v>17</v>
      </c>
      <c r="E37">
        <f>VLOOKUP($C37,Database!$A$3:$K$300,5,FALSE)</f>
        <v>40</v>
      </c>
      <c r="F37">
        <f>VLOOKUP($C37,Database!$A$3:$K$300,6,FALSE)</f>
        <v>0.9</v>
      </c>
      <c r="G37">
        <f>VLOOKUP($C37,Database!$A$3:$K$300,7,FALSE)</f>
        <v>2</v>
      </c>
      <c r="H37">
        <f>VLOOKUP($C37,Database!$A$3:$K$300,8,FALSE)</f>
        <v>35</v>
      </c>
      <c r="I37">
        <f>VLOOKUP($C37,Database!$A$3:$K$300,9,FALSE)</f>
        <v>2.8</v>
      </c>
      <c r="J37">
        <f>VLOOKUP($C37,Database!$A$3:$K$300,10,FALSE)</f>
        <v>1.1000000000000001</v>
      </c>
      <c r="K37">
        <f>VLOOKUP($C37,Database!$A$3:$K$300,11,FALSE)</f>
        <v>71</v>
      </c>
      <c r="M37">
        <f t="shared" si="37"/>
        <v>1.6</v>
      </c>
      <c r="N37" s="2">
        <f t="shared" si="38"/>
        <v>8.2529639009803866</v>
      </c>
      <c r="P37">
        <f t="shared" si="36"/>
        <v>8.75</v>
      </c>
      <c r="Q37">
        <f t="shared" si="33"/>
        <v>350</v>
      </c>
      <c r="R37" s="12">
        <f t="shared" si="39"/>
        <v>8.913412210916615</v>
      </c>
      <c r="S37" s="12">
        <f t="shared" si="40"/>
        <v>-14.297388166487149</v>
      </c>
      <c r="T37" s="12">
        <f t="shared" si="41"/>
        <v>17.568520328326024</v>
      </c>
      <c r="U37" s="12">
        <f t="shared" si="42"/>
        <v>0.6572411929787112</v>
      </c>
      <c r="V37" s="12">
        <f t="shared" si="43"/>
        <v>16.614673523816194</v>
      </c>
      <c r="W37" s="12">
        <f t="shared" si="44"/>
        <v>19.818525160795808</v>
      </c>
      <c r="X37" s="12">
        <f t="shared" si="45"/>
        <v>4.118716790869275</v>
      </c>
      <c r="Y37" s="12">
        <f t="shared" si="46"/>
        <v>19.182786704153049</v>
      </c>
      <c r="Z37" s="12">
        <f t="shared" si="47"/>
        <v>2.6754213757188392</v>
      </c>
      <c r="AA37" s="12">
        <f t="shared" si="48"/>
        <v>0.8339345864973744</v>
      </c>
      <c r="AB37" s="12">
        <f t="shared" si="49"/>
        <v>7.0284510291149243</v>
      </c>
      <c r="AC37" s="12">
        <f t="shared" si="50"/>
        <v>13.132464956587569</v>
      </c>
      <c r="AD37" s="12">
        <f t="shared" si="51"/>
        <v>6.5492977721308989</v>
      </c>
      <c r="AE37" s="12">
        <f t="shared" si="52"/>
        <v>7.1441289712437639</v>
      </c>
      <c r="AF37" s="12">
        <f t="shared" si="53"/>
        <v>4.6505329264135753</v>
      </c>
      <c r="AG37" s="12">
        <f t="shared" si="54"/>
        <v>5.4077743657261346</v>
      </c>
      <c r="AH37" s="12">
        <f t="shared" si="34"/>
        <v>23.554931577600509</v>
      </c>
      <c r="AJ37">
        <f t="shared" si="35"/>
        <v>350</v>
      </c>
      <c r="AK37" s="12">
        <f t="shared" si="55"/>
        <v>12.412851429182936</v>
      </c>
      <c r="AL37" s="12">
        <f t="shared" si="56"/>
        <v>0</v>
      </c>
      <c r="AM37" s="12">
        <f t="shared" si="57"/>
        <v>17.260870944497327</v>
      </c>
      <c r="AN37" s="12">
        <f t="shared" si="58"/>
        <v>8.7206422788164932</v>
      </c>
      <c r="AO37" s="12">
        <f t="shared" si="59"/>
        <v>17.252837788413256</v>
      </c>
      <c r="AP37" s="12">
        <f t="shared" si="60"/>
        <v>18.221394994059409</v>
      </c>
      <c r="AQ37" s="12">
        <f t="shared" si="61"/>
        <v>8.5255933869896463</v>
      </c>
      <c r="AR37" s="12">
        <f t="shared" si="62"/>
        <v>16.812782178217823</v>
      </c>
      <c r="AS37" s="12">
        <f t="shared" si="63"/>
        <v>6.3546244756015478</v>
      </c>
      <c r="AT37" s="12">
        <f t="shared" si="64"/>
        <v>5.2045391301964559</v>
      </c>
      <c r="AU37" s="12">
        <f t="shared" si="65"/>
        <v>9.3260960119050687</v>
      </c>
      <c r="AV37" s="12">
        <f t="shared" si="66"/>
        <v>13.63634402752866</v>
      </c>
      <c r="AW37" s="12">
        <f t="shared" si="67"/>
        <v>9.2118544320577946</v>
      </c>
      <c r="AX37" s="12">
        <f t="shared" si="68"/>
        <v>8.616908271487203</v>
      </c>
      <c r="AY37" s="12">
        <f t="shared" si="69"/>
        <v>8.2895807450060399</v>
      </c>
      <c r="AZ37" s="12">
        <f t="shared" si="70"/>
        <v>7.6392961669274753</v>
      </c>
      <c r="BA37" s="12"/>
    </row>
    <row r="38" spans="1:53" x14ac:dyDescent="0.2">
      <c r="A38" t="s">
        <v>73</v>
      </c>
      <c r="C38" s="1" t="s">
        <v>9</v>
      </c>
      <c r="D38">
        <f>VLOOKUP($C38,Database!$A$3:$K$300,4,FALSE)</f>
        <v>17</v>
      </c>
      <c r="E38">
        <f>VLOOKUP($C38,Database!$A$3:$K$300,5,FALSE)</f>
        <v>40</v>
      </c>
      <c r="F38">
        <f>VLOOKUP($C38,Database!$A$3:$K$300,6,FALSE)</f>
        <v>0.9</v>
      </c>
      <c r="G38">
        <f>VLOOKUP($C38,Database!$A$3:$K$300,7,FALSE)</f>
        <v>1.68</v>
      </c>
      <c r="H38">
        <f>VLOOKUP($C38,Database!$A$3:$K$300,8,FALSE)</f>
        <v>32.340000000000003</v>
      </c>
      <c r="I38">
        <f>VLOOKUP($C38,Database!$A$3:$K$300,9,FALSE)</f>
        <v>3.2</v>
      </c>
      <c r="J38">
        <f>VLOOKUP($C38,Database!$A$3:$K$300,10,FALSE)</f>
        <v>1.65</v>
      </c>
      <c r="K38">
        <f>VLOOKUP($C38,Database!$A$3:$K$300,11,FALSE)</f>
        <v>54</v>
      </c>
      <c r="M38">
        <f t="shared" si="37"/>
        <v>1.3440000000000001</v>
      </c>
      <c r="N38" s="2">
        <f t="shared" si="38"/>
        <v>6.2769021218724061</v>
      </c>
      <c r="P38">
        <f t="shared" si="36"/>
        <v>9</v>
      </c>
      <c r="Q38">
        <f t="shared" si="33"/>
        <v>360</v>
      </c>
      <c r="R38" s="12">
        <f t="shared" si="39"/>
        <v>7.2354998368648111</v>
      </c>
      <c r="S38" s="12">
        <f t="shared" si="40"/>
        <v>-14.297388166487149</v>
      </c>
      <c r="T38" s="12">
        <f t="shared" si="41"/>
        <v>16.230547347984448</v>
      </c>
      <c r="U38" s="12">
        <f t="shared" si="42"/>
        <v>-8.7319620759918948E-2</v>
      </c>
      <c r="V38" s="12">
        <f t="shared" si="43"/>
        <v>15.344237175664324</v>
      </c>
      <c r="W38" s="12">
        <f t="shared" si="44"/>
        <v>18.69415606287248</v>
      </c>
      <c r="X38" s="12">
        <f t="shared" si="45"/>
        <v>3.5437087459088623</v>
      </c>
      <c r="Y38" s="12">
        <f t="shared" si="46"/>
        <v>19.182786704153049</v>
      </c>
      <c r="Z38" s="12">
        <f t="shared" si="47"/>
        <v>2.1840752337818508</v>
      </c>
      <c r="AA38" s="12">
        <f t="shared" si="48"/>
        <v>0.42654647567552573</v>
      </c>
      <c r="AB38" s="12">
        <f t="shared" si="49"/>
        <v>6.3567767479106312</v>
      </c>
      <c r="AC38" s="12">
        <f t="shared" si="50"/>
        <v>12.292298470998471</v>
      </c>
      <c r="AD38" s="12">
        <f t="shared" si="51"/>
        <v>5.9410532754768592</v>
      </c>
      <c r="AE38" s="12">
        <f t="shared" si="52"/>
        <v>6.6084849677908162</v>
      </c>
      <c r="AF38" s="12">
        <f t="shared" si="53"/>
        <v>4.173302186829801</v>
      </c>
      <c r="AG38" s="12">
        <f t="shared" si="54"/>
        <v>4.9628843983320943</v>
      </c>
      <c r="AH38" s="12">
        <f t="shared" si="34"/>
        <v>23.554931577600509</v>
      </c>
      <c r="AJ38">
        <f t="shared" si="35"/>
        <v>360</v>
      </c>
      <c r="AK38" s="12">
        <f t="shared" si="55"/>
        <v>11.636105335504928</v>
      </c>
      <c r="AL38" s="12">
        <f t="shared" si="56"/>
        <v>0</v>
      </c>
      <c r="AM38" s="12">
        <f t="shared" si="57"/>
        <v>16.702465299989811</v>
      </c>
      <c r="AN38" s="12">
        <f t="shared" si="58"/>
        <v>8.4603977162900783</v>
      </c>
      <c r="AO38" s="12">
        <f t="shared" si="59"/>
        <v>16.699118659845418</v>
      </c>
      <c r="AP38" s="12">
        <f t="shared" si="60"/>
        <v>17.784195899147171</v>
      </c>
      <c r="AQ38" s="12">
        <f t="shared" si="61"/>
        <v>8.3306363082901562</v>
      </c>
      <c r="AR38" s="12">
        <f t="shared" si="62"/>
        <v>17.21269024045262</v>
      </c>
      <c r="AS38" s="12">
        <f t="shared" si="63"/>
        <v>6.1941224262884829</v>
      </c>
      <c r="AT38" s="12">
        <f t="shared" si="64"/>
        <v>5.0749445417171399</v>
      </c>
      <c r="AU38" s="12">
        <f t="shared" si="65"/>
        <v>9.0826441163994058</v>
      </c>
      <c r="AV38" s="12">
        <f t="shared" si="66"/>
        <v>13.214925586409876</v>
      </c>
      <c r="AW38" s="12">
        <f t="shared" si="67"/>
        <v>8.9906414452825043</v>
      </c>
      <c r="AX38" s="12">
        <f t="shared" si="68"/>
        <v>8.4504475251127378</v>
      </c>
      <c r="AY38" s="12">
        <f t="shared" si="69"/>
        <v>8.1355917186504527</v>
      </c>
      <c r="AZ38" s="12">
        <f t="shared" si="70"/>
        <v>7.4804639627387441</v>
      </c>
      <c r="BA38" s="12"/>
    </row>
    <row r="39" spans="1:53" x14ac:dyDescent="0.2">
      <c r="P39">
        <f t="shared" si="36"/>
        <v>9.25</v>
      </c>
      <c r="Q39">
        <f t="shared" si="33"/>
        <v>370</v>
      </c>
      <c r="R39" s="12">
        <f t="shared" si="39"/>
        <v>5.6326335848497742</v>
      </c>
      <c r="S39" s="12">
        <f t="shared" si="40"/>
        <v>-14.297388166487149</v>
      </c>
      <c r="T39" s="12">
        <f t="shared" si="41"/>
        <v>14.954889780680366</v>
      </c>
      <c r="U39" s="12">
        <f t="shared" si="42"/>
        <v>-0.79462536515899629</v>
      </c>
      <c r="V39" s="12">
        <f t="shared" si="43"/>
        <v>14.131823792322342</v>
      </c>
      <c r="W39" s="12">
        <f t="shared" si="44"/>
        <v>17.413585801081616</v>
      </c>
      <c r="X39" s="12">
        <f t="shared" si="45"/>
        <v>2.9973958032023429</v>
      </c>
      <c r="Y39" s="12">
        <f t="shared" si="46"/>
        <v>19.182786704153049</v>
      </c>
      <c r="Z39" s="12">
        <f t="shared" si="47"/>
        <v>1.7175683377870943</v>
      </c>
      <c r="AA39" s="12">
        <f t="shared" si="48"/>
        <v>3.9894858814439438E-2</v>
      </c>
      <c r="AB39" s="12">
        <f t="shared" si="49"/>
        <v>5.7180667651029271</v>
      </c>
      <c r="AC39" s="12">
        <f t="shared" si="50"/>
        <v>11.488360079455454</v>
      </c>
      <c r="AD39" s="12">
        <f t="shared" si="51"/>
        <v>5.3626600827164825</v>
      </c>
      <c r="AE39" s="12">
        <f t="shared" si="52"/>
        <v>6.1000397171104739</v>
      </c>
      <c r="AF39" s="12">
        <f t="shared" si="53"/>
        <v>3.7202343683327861</v>
      </c>
      <c r="AG39" s="12">
        <f t="shared" si="54"/>
        <v>4.5400828374331157</v>
      </c>
      <c r="AH39" s="12">
        <f t="shared" si="34"/>
        <v>23.554931577600509</v>
      </c>
      <c r="AJ39">
        <f t="shared" si="35"/>
        <v>370</v>
      </c>
      <c r="AK39" s="12">
        <f t="shared" si="55"/>
        <v>10.869280470524094</v>
      </c>
      <c r="AL39" s="12">
        <f t="shared" si="56"/>
        <v>0</v>
      </c>
      <c r="AM39" s="12">
        <f t="shared" si="57"/>
        <v>16.159563218154929</v>
      </c>
      <c r="AN39" s="12">
        <f t="shared" si="58"/>
        <v>8.205174652048564</v>
      </c>
      <c r="AO39" s="12">
        <f t="shared" si="59"/>
        <v>16.162218525357236</v>
      </c>
      <c r="AP39" s="12">
        <f t="shared" si="60"/>
        <v>17.199932184481572</v>
      </c>
      <c r="AQ39" s="12">
        <f t="shared" si="61"/>
        <v>8.1418524169235145</v>
      </c>
      <c r="AR39" s="12">
        <f t="shared" si="62"/>
        <v>17.612598302687413</v>
      </c>
      <c r="AS39" s="12">
        <f t="shared" si="63"/>
        <v>6.037238896141214</v>
      </c>
      <c r="AT39" s="12">
        <f t="shared" si="64"/>
        <v>4.9480713238045269</v>
      </c>
      <c r="AU39" s="12">
        <f t="shared" si="65"/>
        <v>8.8462601814110595</v>
      </c>
      <c r="AV39" s="12">
        <f t="shared" si="66"/>
        <v>12.809405847532584</v>
      </c>
      <c r="AW39" s="12">
        <f t="shared" si="67"/>
        <v>8.7769469055548761</v>
      </c>
      <c r="AX39" s="12">
        <f t="shared" si="68"/>
        <v>8.2899527491836089</v>
      </c>
      <c r="AY39" s="12">
        <f t="shared" si="69"/>
        <v>7.9880757302061784</v>
      </c>
      <c r="AZ39" s="12">
        <f t="shared" si="70"/>
        <v>7.328266887954638</v>
      </c>
      <c r="BA39" s="12"/>
    </row>
    <row r="40" spans="1:53" x14ac:dyDescent="0.2">
      <c r="P40">
        <f t="shared" si="36"/>
        <v>9.5</v>
      </c>
      <c r="Q40">
        <f t="shared" si="33"/>
        <v>380</v>
      </c>
      <c r="R40" s="12">
        <f t="shared" si="39"/>
        <v>4.0998888272950715</v>
      </c>
      <c r="S40" s="12">
        <f t="shared" si="40"/>
        <v>-14.297388166487149</v>
      </c>
      <c r="T40" s="12">
        <f t="shared" si="41"/>
        <v>13.737293236304085</v>
      </c>
      <c r="U40" s="12">
        <f t="shared" si="42"/>
        <v>-1.4674039517381186</v>
      </c>
      <c r="V40" s="12">
        <f t="shared" si="43"/>
        <v>12.973547110294918</v>
      </c>
      <c r="W40" s="12">
        <f t="shared" si="44"/>
        <v>16.189300333990772</v>
      </c>
      <c r="X40" s="12">
        <f t="shared" si="45"/>
        <v>2.4776822613629044</v>
      </c>
      <c r="Y40" s="12">
        <f t="shared" si="46"/>
        <v>19.182786704153049</v>
      </c>
      <c r="Z40" s="12">
        <f t="shared" si="47"/>
        <v>1.2740635597021868</v>
      </c>
      <c r="AA40" s="12">
        <f t="shared" si="48"/>
        <v>-0.32756423405936186</v>
      </c>
      <c r="AB40" s="12">
        <f t="shared" si="49"/>
        <v>5.109952480499814</v>
      </c>
      <c r="AC40" s="12">
        <f t="shared" si="50"/>
        <v>10.718355995576893</v>
      </c>
      <c r="AD40" s="12">
        <f t="shared" si="51"/>
        <v>4.811973273206128</v>
      </c>
      <c r="AE40" s="12">
        <f t="shared" si="52"/>
        <v>5.6167728794602718</v>
      </c>
      <c r="AF40" s="12">
        <f t="shared" si="53"/>
        <v>3.2895396726445867</v>
      </c>
      <c r="AG40" s="12">
        <f t="shared" si="54"/>
        <v>4.137764524654675</v>
      </c>
      <c r="AH40" s="12">
        <f t="shared" si="34"/>
        <v>23.554931577600509</v>
      </c>
      <c r="AJ40">
        <f t="shared" si="35"/>
        <v>380</v>
      </c>
      <c r="AK40" s="12">
        <f t="shared" si="55"/>
        <v>10.110947729919831</v>
      </c>
      <c r="AL40" s="12">
        <f t="shared" si="56"/>
        <v>0</v>
      </c>
      <c r="AM40" s="12">
        <f t="shared" si="57"/>
        <v>15.630390748675772</v>
      </c>
      <c r="AN40" s="12">
        <f t="shared" si="58"/>
        <v>7.9543678357931551</v>
      </c>
      <c r="AO40" s="12">
        <f t="shared" si="59"/>
        <v>15.640256397742567</v>
      </c>
      <c r="AP40" s="12">
        <f t="shared" si="60"/>
        <v>16.632259362289837</v>
      </c>
      <c r="AQ40" s="12">
        <f t="shared" si="61"/>
        <v>7.9585516421381683</v>
      </c>
      <c r="AR40" s="12">
        <f t="shared" si="62"/>
        <v>18.01250636492221</v>
      </c>
      <c r="AS40" s="12">
        <f t="shared" si="63"/>
        <v>5.8835512279851319</v>
      </c>
      <c r="AT40" s="12">
        <f t="shared" si="64"/>
        <v>4.8235998928374588</v>
      </c>
      <c r="AU40" s="12">
        <f t="shared" si="65"/>
        <v>8.6161424045224972</v>
      </c>
      <c r="AV40" s="12">
        <f t="shared" si="66"/>
        <v>12.418133248581217</v>
      </c>
      <c r="AW40" s="12">
        <f t="shared" si="67"/>
        <v>8.5699389173458904</v>
      </c>
      <c r="AX40" s="12">
        <f t="shared" si="68"/>
        <v>8.1347684694611786</v>
      </c>
      <c r="AY40" s="12">
        <f t="shared" si="69"/>
        <v>7.8463346337483237</v>
      </c>
      <c r="AZ40" s="12">
        <f t="shared" si="70"/>
        <v>7.1819911756126968</v>
      </c>
      <c r="BA40" s="12"/>
    </row>
    <row r="41" spans="1:53" x14ac:dyDescent="0.2">
      <c r="P41">
        <f t="shared" si="36"/>
        <v>9.75</v>
      </c>
      <c r="Q41">
        <f t="shared" si="33"/>
        <v>390</v>
      </c>
      <c r="R41" s="12">
        <f t="shared" si="39"/>
        <v>2.6327625942994466</v>
      </c>
      <c r="S41" s="12">
        <f t="shared" si="40"/>
        <v>-14.297388166487149</v>
      </c>
      <c r="T41" s="12">
        <f t="shared" si="41"/>
        <v>12.573881981140088</v>
      </c>
      <c r="U41" s="12">
        <f t="shared" si="42"/>
        <v>-2.1081233112847979</v>
      </c>
      <c r="V41" s="12">
        <f t="shared" si="43"/>
        <v>11.865860345855227</v>
      </c>
      <c r="W41" s="12">
        <f t="shared" si="44"/>
        <v>15.017668637525668</v>
      </c>
      <c r="X41" s="12">
        <f t="shared" si="45"/>
        <v>1.9826716439568255</v>
      </c>
      <c r="Y41" s="12">
        <f t="shared" si="46"/>
        <v>18.744441287553226</v>
      </c>
      <c r="Z41" s="12">
        <f t="shared" si="47"/>
        <v>0.85190057957995968</v>
      </c>
      <c r="AA41" s="12">
        <f t="shared" si="48"/>
        <v>-0.67722520653764562</v>
      </c>
      <c r="AB41" s="12">
        <f t="shared" si="49"/>
        <v>4.5302869089209405</v>
      </c>
      <c r="AC41" s="12">
        <f t="shared" si="50"/>
        <v>9.9801820724670485</v>
      </c>
      <c r="AD41" s="12">
        <f t="shared" si="51"/>
        <v>4.2870486130263394</v>
      </c>
      <c r="AE41" s="12">
        <f t="shared" si="52"/>
        <v>5.1568593764582582</v>
      </c>
      <c r="AF41" s="12">
        <f t="shared" si="53"/>
        <v>2.8796008076752724</v>
      </c>
      <c r="AG41" s="12">
        <f t="shared" si="54"/>
        <v>3.754476151869059</v>
      </c>
      <c r="AH41" s="12">
        <f t="shared" si="34"/>
        <v>23.554931577600509</v>
      </c>
      <c r="AJ41">
        <f t="shared" si="35"/>
        <v>390</v>
      </c>
      <c r="AK41" s="12">
        <f t="shared" si="55"/>
        <v>9.359865565710745</v>
      </c>
      <c r="AL41" s="12">
        <f t="shared" si="56"/>
        <v>0</v>
      </c>
      <c r="AM41" s="12">
        <f t="shared" si="57"/>
        <v>15.11339409389179</v>
      </c>
      <c r="AN41" s="12">
        <f t="shared" si="58"/>
        <v>7.7074518012532982</v>
      </c>
      <c r="AO41" s="12">
        <f t="shared" si="59"/>
        <v>15.131580068854193</v>
      </c>
      <c r="AP41" s="12">
        <f t="shared" si="60"/>
        <v>16.079356417805876</v>
      </c>
      <c r="AQ41" s="12">
        <f t="shared" si="61"/>
        <v>7.7801317146244759</v>
      </c>
      <c r="AR41" s="12">
        <f t="shared" si="62"/>
        <v>18.047754607149091</v>
      </c>
      <c r="AS41" s="12">
        <f t="shared" si="63"/>
        <v>5.7326920030794968</v>
      </c>
      <c r="AT41" s="12">
        <f t="shared" si="64"/>
        <v>4.7012526793042806</v>
      </c>
      <c r="AU41" s="12">
        <f t="shared" si="65"/>
        <v>8.3915908621688935</v>
      </c>
      <c r="AV41" s="12">
        <f t="shared" si="66"/>
        <v>12.039644988703399</v>
      </c>
      <c r="AW41" s="12">
        <f t="shared" si="67"/>
        <v>8.3688900716395018</v>
      </c>
      <c r="AX41" s="12">
        <f t="shared" si="68"/>
        <v>7.9843225861334979</v>
      </c>
      <c r="AY41" s="12">
        <f t="shared" si="69"/>
        <v>7.7097581414240901</v>
      </c>
      <c r="AZ41" s="12">
        <f t="shared" si="70"/>
        <v>7.0410119730681</v>
      </c>
      <c r="BA41" s="12"/>
    </row>
    <row r="42" spans="1:53" x14ac:dyDescent="0.2">
      <c r="P42">
        <f t="shared" si="36"/>
        <v>10</v>
      </c>
      <c r="Q42">
        <f t="shared" si="33"/>
        <v>400</v>
      </c>
      <c r="R42" s="12">
        <f t="shared" si="39"/>
        <v>1.2271293903091713</v>
      </c>
      <c r="S42" s="12">
        <f t="shared" si="40"/>
        <v>-14.297388166487149</v>
      </c>
      <c r="T42" s="12">
        <f t="shared" si="41"/>
        <v>11.461117727566423</v>
      </c>
      <c r="U42" s="12">
        <f t="shared" si="42"/>
        <v>-2.7190216445879738</v>
      </c>
      <c r="V42" s="12">
        <f t="shared" si="43"/>
        <v>10.805519918716376</v>
      </c>
      <c r="W42" s="12">
        <f t="shared" si="44"/>
        <v>13.89536543720485</v>
      </c>
      <c r="X42" s="12">
        <f t="shared" si="45"/>
        <v>1.5106435752661653</v>
      </c>
      <c r="Y42" s="12">
        <f t="shared" si="46"/>
        <v>17.764018774224162</v>
      </c>
      <c r="Z42" s="12">
        <f t="shared" si="47"/>
        <v>0.44957511494797586</v>
      </c>
      <c r="AA42" s="12">
        <f t="shared" si="48"/>
        <v>-1.0103505784583424</v>
      </c>
      <c r="AB42" s="12">
        <f t="shared" si="49"/>
        <v>3.977119353705536</v>
      </c>
      <c r="AC42" s="12">
        <f t="shared" si="50"/>
        <v>9.2719046014559297</v>
      </c>
      <c r="AD42" s="12">
        <f t="shared" si="51"/>
        <v>3.7861196202054792</v>
      </c>
      <c r="AE42" s="12">
        <f t="shared" si="52"/>
        <v>4.718646358131541</v>
      </c>
      <c r="AF42" s="12">
        <f t="shared" si="53"/>
        <v>2.4889526931930188</v>
      </c>
      <c r="AG42" s="12">
        <f t="shared" si="54"/>
        <v>3.3888987195031008</v>
      </c>
      <c r="AH42" s="12">
        <f t="shared" si="34"/>
        <v>23.554931577600509</v>
      </c>
      <c r="AJ42">
        <f t="shared" si="35"/>
        <v>400</v>
      </c>
      <c r="AK42" s="12">
        <f t="shared" si="55"/>
        <v>8.6149536450979394</v>
      </c>
      <c r="AL42" s="12">
        <f t="shared" si="56"/>
        <v>0</v>
      </c>
      <c r="AM42" s="12">
        <f t="shared" si="57"/>
        <v>14.60720901999575</v>
      </c>
      <c r="AN42" s="12">
        <f t="shared" si="58"/>
        <v>7.4639690709024507</v>
      </c>
      <c r="AO42" s="12">
        <f t="shared" si="59"/>
        <v>14.634734920893933</v>
      </c>
      <c r="AP42" s="12">
        <f t="shared" si="60"/>
        <v>15.539617557004064</v>
      </c>
      <c r="AQ42" s="12">
        <f t="shared" si="61"/>
        <v>7.6060654582633411</v>
      </c>
      <c r="AR42" s="12">
        <f t="shared" si="62"/>
        <v>17.615806263298339</v>
      </c>
      <c r="AS42" s="12">
        <f t="shared" si="63"/>
        <v>5.5843408815588553</v>
      </c>
      <c r="AT42" s="12">
        <f t="shared" si="64"/>
        <v>4.5807878844883403</v>
      </c>
      <c r="AU42" s="12">
        <f t="shared" si="65"/>
        <v>8.1719928674149394</v>
      </c>
      <c r="AV42" s="12">
        <f t="shared" si="66"/>
        <v>11.672642736067628</v>
      </c>
      <c r="AW42" s="12">
        <f t="shared" si="67"/>
        <v>8.1731625289252641</v>
      </c>
      <c r="AX42" s="12">
        <f t="shared" si="68"/>
        <v>7.8381142326693887</v>
      </c>
      <c r="AY42" s="12">
        <f t="shared" si="69"/>
        <v>7.5778111246265718</v>
      </c>
      <c r="AZ42" s="12">
        <f t="shared" si="70"/>
        <v>6.9047806566550989</v>
      </c>
      <c r="BA42" s="12"/>
    </row>
    <row r="43" spans="1:53" x14ac:dyDescent="0.2">
      <c r="P43">
        <f t="shared" si="36"/>
        <v>10.25</v>
      </c>
      <c r="Q43">
        <f t="shared" si="33"/>
        <v>410</v>
      </c>
      <c r="R43" s="12">
        <f t="shared" si="39"/>
        <v>-0.12079754755921357</v>
      </c>
      <c r="S43" s="12">
        <f t="shared" si="40"/>
        <v>-14.297388166487149</v>
      </c>
      <c r="T43" s="12">
        <f t="shared" si="41"/>
        <v>10.395763691148348</v>
      </c>
      <c r="U43" s="12">
        <f t="shared" si="42"/>
        <v>-3.3021335453489549</v>
      </c>
      <c r="V43" s="12">
        <f t="shared" si="43"/>
        <v>9.7895537300923277</v>
      </c>
      <c r="W43" s="12">
        <f t="shared" si="44"/>
        <v>12.819339689668626</v>
      </c>
      <c r="X43" s="12">
        <f t="shared" si="45"/>
        <v>1.0600338038417885</v>
      </c>
      <c r="Y43" s="12">
        <f t="shared" si="46"/>
        <v>16.825867748528225</v>
      </c>
      <c r="Z43" s="12">
        <f t="shared" si="47"/>
        <v>6.5721011026926845E-2</v>
      </c>
      <c r="AA43" s="12">
        <f t="shared" si="48"/>
        <v>-1.3280862178262529</v>
      </c>
      <c r="AB43" s="12">
        <f t="shared" si="49"/>
        <v>3.4486734758281159</v>
      </c>
      <c r="AC43" s="12">
        <f t="shared" si="50"/>
        <v>8.5917433975182611</v>
      </c>
      <c r="AD43" s="12">
        <f t="shared" si="51"/>
        <v>3.3075777048858264</v>
      </c>
      <c r="AE43" s="12">
        <f t="shared" si="52"/>
        <v>4.3006333551688973</v>
      </c>
      <c r="AF43" s="12">
        <f t="shared" si="53"/>
        <v>2.1162649656425874</v>
      </c>
      <c r="AG43" s="12">
        <f t="shared" si="54"/>
        <v>3.0398323716257982</v>
      </c>
      <c r="AH43" s="12">
        <f t="shared" si="34"/>
        <v>23.554931577600509</v>
      </c>
      <c r="AJ43">
        <f t="shared" si="35"/>
        <v>410</v>
      </c>
      <c r="AK43" s="12">
        <f t="shared" si="55"/>
        <v>7.8752705603069026</v>
      </c>
      <c r="AL43" s="12">
        <f t="shared" si="56"/>
        <v>0</v>
      </c>
      <c r="AM43" s="12">
        <f t="shared" si="57"/>
        <v>14.110635007256072</v>
      </c>
      <c r="AN43" s="12">
        <f t="shared" si="58"/>
        <v>7.2235203051335795</v>
      </c>
      <c r="AO43" s="12">
        <f t="shared" si="59"/>
        <v>14.148437482047232</v>
      </c>
      <c r="AP43" s="12">
        <f t="shared" si="60"/>
        <v>15.011623772675646</v>
      </c>
      <c r="AQ43" s="12">
        <f t="shared" si="61"/>
        <v>7.4358901466479219</v>
      </c>
      <c r="AR43" s="12">
        <f t="shared" si="62"/>
        <v>17.197110511253321</v>
      </c>
      <c r="AS43" s="12">
        <f t="shared" si="63"/>
        <v>5.4382177915168617</v>
      </c>
      <c r="AT43" s="12">
        <f t="shared" si="64"/>
        <v>4.461994275221997</v>
      </c>
      <c r="AU43" s="12">
        <f t="shared" si="65"/>
        <v>7.956810684011641</v>
      </c>
      <c r="AV43" s="12">
        <f t="shared" si="66"/>
        <v>11.315971833061177</v>
      </c>
      <c r="AW43" s="12">
        <f t="shared" si="67"/>
        <v>7.9821954922681355</v>
      </c>
      <c r="AX43" s="12">
        <f t="shared" si="68"/>
        <v>7.6957036252489601</v>
      </c>
      <c r="AY43" s="12">
        <f t="shared" si="69"/>
        <v>7.4500229850970197</v>
      </c>
      <c r="AZ43" s="12">
        <f t="shared" si="70"/>
        <v>6.7728141848178218</v>
      </c>
      <c r="BA43" s="12"/>
    </row>
    <row r="44" spans="1:53" x14ac:dyDescent="0.2">
      <c r="P44">
        <f t="shared" si="36"/>
        <v>10.5</v>
      </c>
      <c r="Q44">
        <f t="shared" si="33"/>
        <v>420</v>
      </c>
      <c r="R44" s="12">
        <f t="shared" si="39"/>
        <v>-1.4145003157158254</v>
      </c>
      <c r="S44" s="12">
        <f t="shared" si="40"/>
        <v>-14.297388166487149</v>
      </c>
      <c r="T44" s="12">
        <f t="shared" si="41"/>
        <v>9.3748531460343845</v>
      </c>
      <c r="U44" s="12">
        <f t="shared" si="42"/>
        <v>-3.8593126377899658</v>
      </c>
      <c r="V44" s="12">
        <f t="shared" si="43"/>
        <v>8.8152333417317958</v>
      </c>
      <c r="W44" s="12">
        <f t="shared" si="44"/>
        <v>11.786786884378818</v>
      </c>
      <c r="X44" s="12">
        <f t="shared" si="45"/>
        <v>0.62941688502770177</v>
      </c>
      <c r="Y44" s="12">
        <f t="shared" si="46"/>
        <v>15.927312062591891</v>
      </c>
      <c r="Z44" s="12">
        <f t="shared" si="47"/>
        <v>-0.30090525761313902</v>
      </c>
      <c r="AA44" s="12">
        <f t="shared" si="48"/>
        <v>-1.6314745093423246</v>
      </c>
      <c r="AB44" s="12">
        <f t="shared" si="49"/>
        <v>2.9433282390940043</v>
      </c>
      <c r="AC44" s="12">
        <f t="shared" si="50"/>
        <v>7.9380568598472303</v>
      </c>
      <c r="AD44" s="12">
        <f t="shared" si="51"/>
        <v>2.8499549139658846</v>
      </c>
      <c r="AE44" s="12">
        <f t="shared" si="52"/>
        <v>3.901455114063169</v>
      </c>
      <c r="AF44" s="12">
        <f t="shared" si="53"/>
        <v>1.7603268418074514</v>
      </c>
      <c r="AG44" s="12">
        <f t="shared" si="54"/>
        <v>2.7061832404024289</v>
      </c>
      <c r="AH44" s="12">
        <f t="shared" si="34"/>
        <v>23.554931577600509</v>
      </c>
      <c r="AJ44">
        <f t="shared" si="35"/>
        <v>420</v>
      </c>
      <c r="AK44" s="12">
        <f t="shared" si="55"/>
        <v>7.1399949077471243</v>
      </c>
      <c r="AL44" s="12">
        <f t="shared" si="56"/>
        <v>0</v>
      </c>
      <c r="AM44" s="12">
        <f t="shared" si="57"/>
        <v>13.622613328767628</v>
      </c>
      <c r="AN44" s="12">
        <f t="shared" si="58"/>
        <v>6.9857560422499736</v>
      </c>
      <c r="AO44" s="12">
        <f t="shared" si="59"/>
        <v>13.671552929337759</v>
      </c>
      <c r="AP44" s="12">
        <f t="shared" si="60"/>
        <v>14.494118598766352</v>
      </c>
      <c r="AQ44" s="12">
        <f t="shared" si="61"/>
        <v>7.2691985528940259</v>
      </c>
      <c r="AR44" s="12">
        <f t="shared" si="62"/>
        <v>16.790343755045594</v>
      </c>
      <c r="AS44" s="12">
        <f t="shared" si="63"/>
        <v>5.2940772203634729</v>
      </c>
      <c r="AT44" s="12">
        <f t="shared" si="64"/>
        <v>4.3446868259598919</v>
      </c>
      <c r="AU44" s="12">
        <f t="shared" si="65"/>
        <v>7.7455711773852549</v>
      </c>
      <c r="AV44" s="12">
        <f t="shared" si="66"/>
        <v>10.968603441858232</v>
      </c>
      <c r="AW44" s="12">
        <f t="shared" si="67"/>
        <v>7.7954946463922443</v>
      </c>
      <c r="AX44" s="12">
        <f t="shared" si="68"/>
        <v>7.5567035408205694</v>
      </c>
      <c r="AY44" s="12">
        <f t="shared" si="69"/>
        <v>7.325978721396627</v>
      </c>
      <c r="AZ44" s="12">
        <f t="shared" si="70"/>
        <v>6.6446861262665005</v>
      </c>
      <c r="BA44" s="12"/>
    </row>
    <row r="45" spans="1:53" x14ac:dyDescent="0.2">
      <c r="P45">
        <f t="shared" si="36"/>
        <v>10.75</v>
      </c>
      <c r="Q45">
        <f t="shared" si="33"/>
        <v>430</v>
      </c>
      <c r="R45" s="12">
        <f t="shared" si="39"/>
        <v>-2.6571863801296338</v>
      </c>
      <c r="S45" s="12">
        <f t="shared" si="40"/>
        <v>-14.297388166487149</v>
      </c>
      <c r="T45" s="12">
        <f t="shared" si="41"/>
        <v>8.3956618352782098</v>
      </c>
      <c r="U45" s="12">
        <f t="shared" si="42"/>
        <v>-4.3922512596671623</v>
      </c>
      <c r="V45" s="12">
        <f t="shared" si="43"/>
        <v>7.8800495074943786</v>
      </c>
      <c r="W45" s="12">
        <f t="shared" si="44"/>
        <v>10.795124635994449</v>
      </c>
      <c r="X45" s="12">
        <f t="shared" si="45"/>
        <v>0.21749111850767022</v>
      </c>
      <c r="Y45" s="12">
        <f t="shared" si="46"/>
        <v>15.065896797475464</v>
      </c>
      <c r="Z45" s="12">
        <f t="shared" si="47"/>
        <v>-0.65143804444369557</v>
      </c>
      <c r="AA45" s="12">
        <f t="shared" si="48"/>
        <v>-1.9214657784448814</v>
      </c>
      <c r="AB45" s="12">
        <f t="shared" si="49"/>
        <v>2.459601300786451</v>
      </c>
      <c r="AC45" s="12">
        <f t="shared" si="50"/>
        <v>7.3093287436360059</v>
      </c>
      <c r="AD45" s="12">
        <f t="shared" si="51"/>
        <v>2.4119088902572798</v>
      </c>
      <c r="AE45" s="12">
        <f t="shared" si="52"/>
        <v>3.5198667013670386</v>
      </c>
      <c r="AF45" s="12">
        <f t="shared" si="53"/>
        <v>1.4200339784251561</v>
      </c>
      <c r="AG45" s="12">
        <f t="shared" si="54"/>
        <v>2.3869519960094374</v>
      </c>
      <c r="AH45" s="12">
        <f t="shared" si="34"/>
        <v>23.554931577600509</v>
      </c>
      <c r="AJ45">
        <f t="shared" si="35"/>
        <v>430</v>
      </c>
      <c r="AK45" s="12">
        <f t="shared" si="55"/>
        <v>6.4084091795477569</v>
      </c>
      <c r="AL45" s="12">
        <f t="shared" si="56"/>
        <v>0</v>
      </c>
      <c r="AM45" s="12">
        <f t="shared" si="57"/>
        <v>13.142208398699752</v>
      </c>
      <c r="AN45" s="12">
        <f t="shared" si="58"/>
        <v>6.750369745847566</v>
      </c>
      <c r="AO45" s="12">
        <f t="shared" si="59"/>
        <v>13.203075887988367</v>
      </c>
      <c r="AP45" s="12">
        <f t="shared" si="60"/>
        <v>13.98598737165953</v>
      </c>
      <c r="AQ45" s="12">
        <f t="shared" si="61"/>
        <v>7.1056313943892011</v>
      </c>
      <c r="AR45" s="12">
        <f t="shared" si="62"/>
        <v>16.394331048251129</v>
      </c>
      <c r="AS45" s="12">
        <f t="shared" si="63"/>
        <v>5.151703411273056</v>
      </c>
      <c r="AT45" s="12">
        <f t="shared" si="64"/>
        <v>4.2287030557248713</v>
      </c>
      <c r="AU45" s="12">
        <f t="shared" si="65"/>
        <v>7.5378570648207024</v>
      </c>
      <c r="AV45" s="12">
        <f t="shared" si="66"/>
        <v>10.629619170297032</v>
      </c>
      <c r="AW45" s="12">
        <f t="shared" si="67"/>
        <v>7.6126232210560945</v>
      </c>
      <c r="AX45" s="12">
        <f t="shared" si="68"/>
        <v>7.4207721339109591</v>
      </c>
      <c r="AY45" s="12">
        <f t="shared" si="69"/>
        <v>7.2053113904626898</v>
      </c>
      <c r="AZ45" s="12">
        <f t="shared" si="70"/>
        <v>6.5200190707098082</v>
      </c>
      <c r="BA45" s="12"/>
    </row>
    <row r="46" spans="1:53" x14ac:dyDescent="0.2">
      <c r="P46">
        <f t="shared" si="36"/>
        <v>11</v>
      </c>
      <c r="Q46">
        <f t="shared" si="33"/>
        <v>440</v>
      </c>
      <c r="R46" s="12">
        <f t="shared" si="39"/>
        <v>-3.8518151276886741</v>
      </c>
      <c r="S46" s="12">
        <f t="shared" si="40"/>
        <v>-14.297388166487149</v>
      </c>
      <c r="T46" s="12">
        <f t="shared" si="41"/>
        <v>7.4556836957695705</v>
      </c>
      <c r="U46" s="12">
        <f t="shared" si="42"/>
        <v>-4.9024976310061277</v>
      </c>
      <c r="V46" s="12">
        <f t="shared" si="43"/>
        <v>6.9816905954207957</v>
      </c>
      <c r="W46" s="12">
        <f t="shared" si="44"/>
        <v>9.8419711201753142</v>
      </c>
      <c r="X46" s="12">
        <f t="shared" si="45"/>
        <v>-0.17693459443040105</v>
      </c>
      <c r="Y46" s="12">
        <f t="shared" si="46"/>
        <v>14.239365865660037</v>
      </c>
      <c r="Z46" s="12">
        <f t="shared" si="47"/>
        <v>-0.9869142542463365</v>
      </c>
      <c r="AA46" s="12">
        <f t="shared" si="48"/>
        <v>-2.1989282346544821</v>
      </c>
      <c r="AB46" s="12">
        <f t="shared" si="49"/>
        <v>1.9961344892820456</v>
      </c>
      <c r="AC46" s="12">
        <f t="shared" si="50"/>
        <v>6.7041564186759759</v>
      </c>
      <c r="AD46" s="12">
        <f t="shared" si="51"/>
        <v>1.9922097215264021</v>
      </c>
      <c r="AE46" s="12">
        <f t="shared" si="52"/>
        <v>3.1547305346460197</v>
      </c>
      <c r="AF46" s="12">
        <f t="shared" si="53"/>
        <v>1.0943770272967566</v>
      </c>
      <c r="AG46" s="12">
        <f t="shared" si="54"/>
        <v>2.0812238495238615</v>
      </c>
      <c r="AH46" s="12">
        <f t="shared" si="34"/>
        <v>23.554931577600509</v>
      </c>
      <c r="AJ46">
        <f t="shared" si="35"/>
        <v>440</v>
      </c>
      <c r="AK46" s="12">
        <f t="shared" si="55"/>
        <v>5.6798860106216917</v>
      </c>
      <c r="AL46" s="12">
        <f t="shared" si="56"/>
        <v>0</v>
      </c>
      <c r="AM46" s="12">
        <f t="shared" si="57"/>
        <v>12.668591851827621</v>
      </c>
      <c r="AN46" s="12">
        <f t="shared" si="58"/>
        <v>6.5170919313031455</v>
      </c>
      <c r="AO46" s="12">
        <f t="shared" si="59"/>
        <v>12.742113993857414</v>
      </c>
      <c r="AP46" s="12">
        <f t="shared" si="60"/>
        <v>13.486239438271628</v>
      </c>
      <c r="AQ46" s="12">
        <f t="shared" si="61"/>
        <v>6.944870931667424</v>
      </c>
      <c r="AR46" s="12">
        <f t="shared" si="62"/>
        <v>16.00802715304291</v>
      </c>
      <c r="AS46" s="12">
        <f t="shared" si="63"/>
        <v>5.0109063060989003</v>
      </c>
      <c r="AT46" s="12">
        <f t="shared" si="64"/>
        <v>4.1138999374590286</v>
      </c>
      <c r="AU46" s="12">
        <f t="shared" si="65"/>
        <v>7.3332994915124523</v>
      </c>
      <c r="AV46" s="12">
        <f t="shared" si="66"/>
        <v>10.298197796822624</v>
      </c>
      <c r="AW46" s="12">
        <f t="shared" si="67"/>
        <v>7.4331944020143874</v>
      </c>
      <c r="AX46" s="12">
        <f t="shared" si="68"/>
        <v>7.2876068588364769</v>
      </c>
      <c r="AY46" s="12">
        <f t="shared" si="69"/>
        <v>7.0876957222683723</v>
      </c>
      <c r="AZ46" s="12">
        <f t="shared" si="70"/>
        <v>6.3984781856724462</v>
      </c>
      <c r="BA46" s="12"/>
    </row>
    <row r="47" spans="1:53" x14ac:dyDescent="0.2">
      <c r="P47">
        <f t="shared" si="36"/>
        <v>11.25</v>
      </c>
      <c r="Q47">
        <f t="shared" si="33"/>
        <v>450</v>
      </c>
      <c r="R47" s="12">
        <f t="shared" si="39"/>
        <v>-5.0011213956001468</v>
      </c>
      <c r="S47" s="12">
        <f t="shared" si="40"/>
        <v>-14.297388166487149</v>
      </c>
      <c r="T47" s="12">
        <f t="shared" si="41"/>
        <v>6.5526094423094232</v>
      </c>
      <c r="U47" s="12">
        <f t="shared" si="42"/>
        <v>-5.391470875447169</v>
      </c>
      <c r="V47" s="12">
        <f t="shared" si="43"/>
        <v>6.1180235096207376</v>
      </c>
      <c r="W47" s="12">
        <f t="shared" si="44"/>
        <v>8.9251259737130102</v>
      </c>
      <c r="X47" s="12">
        <f t="shared" si="45"/>
        <v>-0.55495225342224863</v>
      </c>
      <c r="Y47" s="12">
        <f t="shared" si="46"/>
        <v>13.445642280596022</v>
      </c>
      <c r="Z47" s="12">
        <f t="shared" si="47"/>
        <v>-1.3082835874803136</v>
      </c>
      <c r="AA47" s="12">
        <f t="shared" si="48"/>
        <v>-2.464656653390441</v>
      </c>
      <c r="AB47" s="12">
        <f t="shared" si="49"/>
        <v>1.5516810689771887</v>
      </c>
      <c r="AC47" s="12">
        <f t="shared" si="50"/>
        <v>6.1212404233901738</v>
      </c>
      <c r="AD47" s="12">
        <f t="shared" si="51"/>
        <v>1.5897284080618039</v>
      </c>
      <c r="AE47" s="12">
        <f t="shared" si="52"/>
        <v>2.8050050555197314</v>
      </c>
      <c r="AF47" s="12">
        <f t="shared" si="53"/>
        <v>0.78243163603383259</v>
      </c>
      <c r="AG47" s="12">
        <f t="shared" si="54"/>
        <v>1.7881597981356583</v>
      </c>
      <c r="AH47" s="12">
        <f t="shared" si="34"/>
        <v>23.554931577600509</v>
      </c>
      <c r="AJ47">
        <f t="shared" si="35"/>
        <v>450</v>
      </c>
      <c r="AK47" s="12">
        <f t="shared" si="55"/>
        <v>4.9538764050811572</v>
      </c>
      <c r="AL47" s="12">
        <f t="shared" si="56"/>
        <v>0</v>
      </c>
      <c r="AM47" s="12">
        <f t="shared" si="57"/>
        <v>12.201028912964514</v>
      </c>
      <c r="AN47" s="12">
        <f t="shared" si="58"/>
        <v>6.2856851866151811</v>
      </c>
      <c r="AO47" s="12">
        <f t="shared" si="59"/>
        <v>12.287873779900456</v>
      </c>
      <c r="AP47" s="12">
        <f t="shared" si="60"/>
        <v>12.993992848654438</v>
      </c>
      <c r="AQ47" s="12">
        <f t="shared" si="61"/>
        <v>6.7866355261089772</v>
      </c>
      <c r="AR47" s="12">
        <f t="shared" si="62"/>
        <v>15.630500308896123</v>
      </c>
      <c r="AS47" s="12">
        <f t="shared" si="63"/>
        <v>4.8715181065247002</v>
      </c>
      <c r="AT47" s="12">
        <f t="shared" si="64"/>
        <v>4.0001512809091739</v>
      </c>
      <c r="AU47" s="12">
        <f t="shared" si="65"/>
        <v>7.1315717102602001</v>
      </c>
      <c r="AV47" s="12">
        <f t="shared" si="66"/>
        <v>9.9736037774222499</v>
      </c>
      <c r="AW47" s="12">
        <f t="shared" si="67"/>
        <v>7.2568648644718463</v>
      </c>
      <c r="AX47" s="12">
        <f t="shared" si="68"/>
        <v>7.1569393085355797</v>
      </c>
      <c r="AY47" s="12">
        <f t="shared" si="69"/>
        <v>6.9728426916304729</v>
      </c>
      <c r="AZ47" s="12">
        <f t="shared" si="70"/>
        <v>6.2797657272523946</v>
      </c>
      <c r="BA47" s="12"/>
    </row>
    <row r="48" spans="1:53" x14ac:dyDescent="0.2">
      <c r="P48">
        <f t="shared" si="36"/>
        <v>11.5</v>
      </c>
      <c r="Q48">
        <f t="shared" si="33"/>
        <v>460</v>
      </c>
      <c r="R48" s="12">
        <f t="shared" si="39"/>
        <v>-6.1076363726309344</v>
      </c>
      <c r="S48" s="12">
        <f t="shared" si="40"/>
        <v>-14.297388166487149</v>
      </c>
      <c r="T48" s="12">
        <f t="shared" si="41"/>
        <v>5.6843076255146077</v>
      </c>
      <c r="U48" s="12">
        <f t="shared" si="42"/>
        <v>-5.8604742011522148</v>
      </c>
      <c r="V48" s="12">
        <f t="shared" si="43"/>
        <v>5.287076780505334</v>
      </c>
      <c r="W48" s="12">
        <f t="shared" si="44"/>
        <v>8.0425533365736683</v>
      </c>
      <c r="X48" s="12">
        <f t="shared" si="45"/>
        <v>-0.91756485529453968</v>
      </c>
      <c r="Y48" s="12">
        <f t="shared" si="46"/>
        <v>12.682810730002529</v>
      </c>
      <c r="Z48" s="12">
        <f t="shared" si="47"/>
        <v>-1.6164175189258501</v>
      </c>
      <c r="AA48" s="12">
        <f t="shared" si="48"/>
        <v>-2.7193799791199345</v>
      </c>
      <c r="AB48" s="12">
        <f t="shared" si="49"/>
        <v>1.1250945410527713</v>
      </c>
      <c r="AC48" s="12">
        <f t="shared" si="50"/>
        <v>5.5593751505656259</v>
      </c>
      <c r="AD48" s="12">
        <f t="shared" si="51"/>
        <v>1.2034267210423746</v>
      </c>
      <c r="AE48" s="12">
        <f t="shared" si="52"/>
        <v>2.46973480723734</v>
      </c>
      <c r="AF48" s="12">
        <f t="shared" si="53"/>
        <v>0.4833496857988937</v>
      </c>
      <c r="AG48" s="12">
        <f t="shared" si="54"/>
        <v>1.5069889362261248</v>
      </c>
      <c r="AH48" s="12">
        <f t="shared" si="34"/>
        <v>23.554931577600509</v>
      </c>
      <c r="AJ48">
        <f t="shared" si="35"/>
        <v>460</v>
      </c>
      <c r="AK48" s="12">
        <f t="shared" si="55"/>
        <v>4.2298996311178305</v>
      </c>
      <c r="AL48" s="12">
        <f t="shared" si="56"/>
        <v>0</v>
      </c>
      <c r="AM48" s="12">
        <f t="shared" si="57"/>
        <v>11.738866692873852</v>
      </c>
      <c r="AN48" s="12">
        <f t="shared" si="58"/>
        <v>6.0559399373924743</v>
      </c>
      <c r="AO48" s="12">
        <f t="shared" si="59"/>
        <v>11.839648523893832</v>
      </c>
      <c r="AP48" s="12">
        <f t="shared" si="60"/>
        <v>12.508461150110318</v>
      </c>
      <c r="AQ48" s="12">
        <f t="shared" si="61"/>
        <v>6.6306749973539745</v>
      </c>
      <c r="AR48" s="12">
        <f t="shared" si="62"/>
        <v>15.260918281166457</v>
      </c>
      <c r="AS48" s="12">
        <f t="shared" si="63"/>
        <v>4.7333903493112288</v>
      </c>
      <c r="AT48" s="12">
        <f t="shared" si="64"/>
        <v>3.8873455088496076</v>
      </c>
      <c r="AU48" s="12">
        <f t="shared" si="65"/>
        <v>6.932383683337906</v>
      </c>
      <c r="AV48" s="12">
        <f t="shared" si="66"/>
        <v>9.655177269931789</v>
      </c>
      <c r="AW48" s="12">
        <f t="shared" si="67"/>
        <v>7.0833292451085619</v>
      </c>
      <c r="AX48" s="12">
        <f t="shared" si="68"/>
        <v>7.0285308165816804</v>
      </c>
      <c r="AY48" s="12">
        <f t="shared" si="69"/>
        <v>6.8604948877361549</v>
      </c>
      <c r="AZ48" s="12">
        <f t="shared" si="70"/>
        <v>6.1636163479957693</v>
      </c>
      <c r="BA48" s="12"/>
    </row>
    <row r="49" spans="16:53" x14ac:dyDescent="0.2">
      <c r="P49">
        <f t="shared" si="36"/>
        <v>11.75</v>
      </c>
      <c r="Q49">
        <f t="shared" si="33"/>
        <v>470</v>
      </c>
      <c r="R49" s="12">
        <f t="shared" si="39"/>
        <v>-7.173706208412745</v>
      </c>
      <c r="S49" s="12">
        <f t="shared" si="40"/>
        <v>-14.297388166487149</v>
      </c>
      <c r="T49" s="12">
        <f t="shared" si="41"/>
        <v>4.8488078364615035</v>
      </c>
      <c r="U49" s="12">
        <f t="shared" si="42"/>
        <v>-6.3107064990843016</v>
      </c>
      <c r="V49" s="12">
        <f t="shared" si="43"/>
        <v>4.4870255411894462</v>
      </c>
      <c r="W49" s="12">
        <f t="shared" si="44"/>
        <v>7.1923667607607822</v>
      </c>
      <c r="X49" s="12">
        <f t="shared" si="45"/>
        <v>-1.2656952806451063</v>
      </c>
      <c r="Y49" s="12">
        <f t="shared" si="46"/>
        <v>11.94910214508791</v>
      </c>
      <c r="Z49" s="12">
        <f t="shared" si="47"/>
        <v>-1.9121171893702638</v>
      </c>
      <c r="AA49" s="12">
        <f t="shared" si="48"/>
        <v>-2.9637680030224498</v>
      </c>
      <c r="AB49" s="12">
        <f t="shared" si="49"/>
        <v>0.71531876824416862</v>
      </c>
      <c r="AC49" s="12">
        <f t="shared" si="50"/>
        <v>5.017440524280917</v>
      </c>
      <c r="AD49" s="12">
        <f t="shared" si="51"/>
        <v>0.83234825987798189</v>
      </c>
      <c r="AE49" s="12">
        <f t="shared" si="52"/>
        <v>2.1480417177134372</v>
      </c>
      <c r="AF49" s="12">
        <f t="shared" si="53"/>
        <v>0.19635159111472689</v>
      </c>
      <c r="AG49" s="12">
        <f t="shared" si="54"/>
        <v>1.2370016839300932</v>
      </c>
      <c r="AH49" s="12">
        <f t="shared" si="34"/>
        <v>23.554931577600509</v>
      </c>
      <c r="AJ49">
        <f t="shared" si="35"/>
        <v>470</v>
      </c>
      <c r="AK49" s="12">
        <f t="shared" si="55"/>
        <v>3.5075345265146374</v>
      </c>
      <c r="AL49" s="12">
        <f t="shared" si="56"/>
        <v>0</v>
      </c>
      <c r="AM49" s="12">
        <f t="shared" si="57"/>
        <v>11.281524110283518</v>
      </c>
      <c r="AN49" s="12">
        <f t="shared" si="58"/>
        <v>5.8276708333413794</v>
      </c>
      <c r="AO49" s="12">
        <f t="shared" si="59"/>
        <v>11.396807756577735</v>
      </c>
      <c r="AP49" s="12">
        <f t="shared" si="60"/>
        <v>12.028941964390684</v>
      </c>
      <c r="AQ49" s="12">
        <f t="shared" si="61"/>
        <v>6.476766650236077</v>
      </c>
      <c r="AR49" s="12">
        <f t="shared" si="62"/>
        <v>14.898536334481241</v>
      </c>
      <c r="AS49" s="12">
        <f t="shared" si="63"/>
        <v>4.5963914106827959</v>
      </c>
      <c r="AT49" s="12">
        <f t="shared" si="64"/>
        <v>3.7753837612986736</v>
      </c>
      <c r="AU49" s="12">
        <f t="shared" si="65"/>
        <v>6.7354774577172707</v>
      </c>
      <c r="AV49" s="12">
        <f t="shared" si="66"/>
        <v>9.3423254541283409</v>
      </c>
      <c r="AW49" s="12">
        <f t="shared" si="67"/>
        <v>6.9123154017636903</v>
      </c>
      <c r="AX49" s="12">
        <f t="shared" si="68"/>
        <v>6.9021686970975198</v>
      </c>
      <c r="AY49" s="12">
        <f t="shared" si="69"/>
        <v>6.7504225510961078</v>
      </c>
      <c r="AZ49" s="12">
        <f t="shared" si="70"/>
        <v>6.0497930733433254</v>
      </c>
      <c r="BA49" s="12"/>
    </row>
    <row r="50" spans="16:53" x14ac:dyDescent="0.2">
      <c r="P50">
        <f t="shared" si="36"/>
        <v>12</v>
      </c>
      <c r="Q50">
        <f t="shared" si="33"/>
        <v>480</v>
      </c>
      <c r="R50" s="12">
        <f t="shared" si="39"/>
        <v>-8.2015086187597657</v>
      </c>
      <c r="S50" s="12">
        <f t="shared" si="40"/>
        <v>-14.297388166487149</v>
      </c>
      <c r="T50" s="12">
        <f t="shared" si="41"/>
        <v>4.0442857794883089</v>
      </c>
      <c r="U50" s="12">
        <f t="shared" si="42"/>
        <v>-6.7432725760067624</v>
      </c>
      <c r="V50" s="12">
        <f t="shared" si="43"/>
        <v>3.7161781490892718</v>
      </c>
      <c r="W50" s="12">
        <f t="shared" si="44"/>
        <v>6.3728157505570184</v>
      </c>
      <c r="X50" s="12">
        <f t="shared" si="45"/>
        <v>-1.6001941365210186</v>
      </c>
      <c r="Y50" s="12">
        <f t="shared" si="46"/>
        <v>11.24288000398974</v>
      </c>
      <c r="Z50" s="12">
        <f t="shared" si="47"/>
        <v>-2.1961203608192896</v>
      </c>
      <c r="AA50" s="12">
        <f t="shared" si="48"/>
        <v>-3.1984372439854534</v>
      </c>
      <c r="AB50" s="12">
        <f t="shared" si="49"/>
        <v>0.3213792445295347</v>
      </c>
      <c r="AC50" s="12">
        <f t="shared" si="50"/>
        <v>4.4943945471135303</v>
      </c>
      <c r="AD50" s="12">
        <f t="shared" si="51"/>
        <v>0.47561054634766364</v>
      </c>
      <c r="AE50" s="12">
        <f t="shared" si="52"/>
        <v>1.8391174205573</v>
      </c>
      <c r="AF50" s="12">
        <f t="shared" si="53"/>
        <v>-7.9280485471731055E-2</v>
      </c>
      <c r="AG50" s="12">
        <f t="shared" si="54"/>
        <v>0.97754380794680262</v>
      </c>
      <c r="AH50" s="12">
        <f t="shared" si="34"/>
        <v>23.554931577600509</v>
      </c>
      <c r="AJ50">
        <f t="shared" si="35"/>
        <v>480</v>
      </c>
      <c r="AK50" s="12">
        <f t="shared" si="55"/>
        <v>2.7864120002354684</v>
      </c>
      <c r="AL50" s="12">
        <f t="shared" si="56"/>
        <v>0</v>
      </c>
      <c r="AM50" s="12">
        <f t="shared" si="57"/>
        <v>10.828483190819076</v>
      </c>
      <c r="AN50" s="12">
        <f t="shared" si="58"/>
        <v>5.6007136556847827</v>
      </c>
      <c r="AO50" s="12">
        <f t="shared" si="59"/>
        <v>10.958788179841225</v>
      </c>
      <c r="AP50" s="12">
        <f t="shared" si="60"/>
        <v>11.55480708231344</v>
      </c>
      <c r="AQ50" s="12">
        <f t="shared" si="61"/>
        <v>6.3247118642610083</v>
      </c>
      <c r="AR50" s="12">
        <f t="shared" si="62"/>
        <v>14.542686836502607</v>
      </c>
      <c r="AS50" s="12">
        <f t="shared" si="63"/>
        <v>4.4604043702546008</v>
      </c>
      <c r="AT50" s="12">
        <f t="shared" si="64"/>
        <v>3.6641782742586657</v>
      </c>
      <c r="AU50" s="12">
        <f t="shared" si="65"/>
        <v>6.5406231911102353</v>
      </c>
      <c r="AV50" s="12">
        <f t="shared" si="66"/>
        <v>9.0345149614641436</v>
      </c>
      <c r="AW50" s="12">
        <f t="shared" si="67"/>
        <v>6.7435803364461204</v>
      </c>
      <c r="AX50" s="12">
        <f t="shared" si="68"/>
        <v>6.7776630198450034</v>
      </c>
      <c r="AY50" s="12">
        <f t="shared" si="69"/>
        <v>6.6424201709867567</v>
      </c>
      <c r="AZ50" s="12">
        <f t="shared" si="70"/>
        <v>5.9380838408440368</v>
      </c>
      <c r="BA50" s="12"/>
    </row>
    <row r="51" spans="16:53" x14ac:dyDescent="0.2">
      <c r="P51">
        <f t="shared" si="36"/>
        <v>12.25</v>
      </c>
      <c r="Q51">
        <f t="shared" si="33"/>
        <v>490</v>
      </c>
      <c r="R51" s="12">
        <f t="shared" si="39"/>
        <v>-9.1930677343313221</v>
      </c>
      <c r="S51" s="12">
        <f t="shared" si="40"/>
        <v>-14.297388166487149</v>
      </c>
      <c r="T51" s="12">
        <f t="shared" si="41"/>
        <v>3.2690499751392288</v>
      </c>
      <c r="U51" s="12">
        <f t="shared" si="42"/>
        <v>-7.1591922060923743</v>
      </c>
      <c r="V51" s="12">
        <f t="shared" si="43"/>
        <v>2.9729642462948256</v>
      </c>
      <c r="W51" s="12">
        <f t="shared" si="44"/>
        <v>5.5822737320390114</v>
      </c>
      <c r="X51" s="12">
        <f t="shared" si="45"/>
        <v>-1.9218466955117277</v>
      </c>
      <c r="Y51" s="12">
        <f t="shared" si="46"/>
        <v>10.562628146227627</v>
      </c>
      <c r="Z51" s="12">
        <f t="shared" si="47"/>
        <v>-2.4691075623681469</v>
      </c>
      <c r="AA51" s="12">
        <f t="shared" si="48"/>
        <v>-3.4239561416556556</v>
      </c>
      <c r="AB51" s="12">
        <f t="shared" si="49"/>
        <v>-5.7624642191120401E-2</v>
      </c>
      <c r="AC51" s="12">
        <f t="shared" si="50"/>
        <v>3.989266613280642</v>
      </c>
      <c r="AD51" s="12">
        <f t="shared" si="51"/>
        <v>0.13239801795517891</v>
      </c>
      <c r="AE51" s="12">
        <f t="shared" si="52"/>
        <v>1.5422164726999901</v>
      </c>
      <c r="AF51" s="12">
        <f t="shared" si="53"/>
        <v>-0.34420862821745324</v>
      </c>
      <c r="AG51" s="12">
        <f t="shared" si="54"/>
        <v>0.72801112852722127</v>
      </c>
      <c r="AH51" s="12">
        <f t="shared" si="34"/>
        <v>23.554931577600509</v>
      </c>
      <c r="AJ51">
        <f t="shared" si="35"/>
        <v>490</v>
      </c>
      <c r="AK51" s="12">
        <f t="shared" si="55"/>
        <v>2.066208550974499</v>
      </c>
      <c r="AL51" s="12">
        <f t="shared" si="56"/>
        <v>0</v>
      </c>
      <c r="AM51" s="12">
        <f t="shared" si="57"/>
        <v>10.37928153541174</v>
      </c>
      <c r="AN51" s="12">
        <f t="shared" si="58"/>
        <v>5.3749226627235736</v>
      </c>
      <c r="AO51" s="12">
        <f t="shared" si="59"/>
        <v>10.525085785859721</v>
      </c>
      <c r="AP51" s="12">
        <f t="shared" si="60"/>
        <v>11.085493853421461</v>
      </c>
      <c r="AQ51" s="12">
        <f t="shared" si="61"/>
        <v>6.1743331573810014</v>
      </c>
      <c r="AR51" s="12">
        <f t="shared" si="62"/>
        <v>14.192770247006029</v>
      </c>
      <c r="AS51" s="12">
        <f t="shared" si="63"/>
        <v>4.3253251772505097</v>
      </c>
      <c r="AT51" s="12">
        <f t="shared" si="64"/>
        <v>3.5536509890440042</v>
      </c>
      <c r="AU51" s="12">
        <f t="shared" si="65"/>
        <v>6.3476157275458753</v>
      </c>
      <c r="AV51" s="12">
        <f t="shared" si="66"/>
        <v>8.7312652575852514</v>
      </c>
      <c r="AW51" s="12">
        <f t="shared" si="67"/>
        <v>6.5769066788432546</v>
      </c>
      <c r="AX51" s="12">
        <f t="shared" si="68"/>
        <v>6.6548438359103192</v>
      </c>
      <c r="AY51" s="12">
        <f t="shared" si="69"/>
        <v>6.5363035552526432</v>
      </c>
      <c r="AZ51" s="12">
        <f t="shared" si="70"/>
        <v>5.8282985147039668</v>
      </c>
      <c r="BA51" s="12"/>
    </row>
    <row r="52" spans="16:53" x14ac:dyDescent="0.2">
      <c r="P52">
        <f t="shared" si="36"/>
        <v>12.5</v>
      </c>
      <c r="Q52">
        <f t="shared" si="33"/>
        <v>500</v>
      </c>
      <c r="R52" s="12">
        <f t="shared" si="39"/>
        <v>-10.150267405689693</v>
      </c>
      <c r="S52" s="12">
        <f t="shared" si="40"/>
        <v>-14.297388166487149</v>
      </c>
      <c r="T52" s="12">
        <f t="shared" si="41"/>
        <v>2.521529889271207</v>
      </c>
      <c r="U52" s="12">
        <f t="shared" si="42"/>
        <v>-7.5594081572606964</v>
      </c>
      <c r="V52" s="12">
        <f t="shared" si="43"/>
        <v>2.2559240813746833</v>
      </c>
      <c r="W52" s="12">
        <f t="shared" si="44"/>
        <v>4.8192272778763563</v>
      </c>
      <c r="X52" s="12">
        <f t="shared" si="45"/>
        <v>-2.2313790504254412</v>
      </c>
      <c r="Y52" s="12">
        <f t="shared" si="46"/>
        <v>9.9069399072014122</v>
      </c>
      <c r="Z52" s="12">
        <f t="shared" si="47"/>
        <v>-2.7317075345169473</v>
      </c>
      <c r="AA52" s="12">
        <f t="shared" si="48"/>
        <v>-3.6408496536368498</v>
      </c>
      <c r="AB52" s="12">
        <f t="shared" si="49"/>
        <v>-0.42252648374195179</v>
      </c>
      <c r="AC52" s="12">
        <f t="shared" si="50"/>
        <v>3.5011514974244831</v>
      </c>
      <c r="AD52" s="12">
        <f t="shared" si="51"/>
        <v>-0.19804419660195371</v>
      </c>
      <c r="AE52" s="12">
        <f t="shared" si="52"/>
        <v>1.2566503488158673</v>
      </c>
      <c r="AF52" s="12">
        <f t="shared" si="53"/>
        <v>-0.5990444779023063</v>
      </c>
      <c r="AG52" s="12">
        <f t="shared" si="54"/>
        <v>0.48784482249151306</v>
      </c>
      <c r="AH52" s="12">
        <f t="shared" si="34"/>
        <v>23.554931577600509</v>
      </c>
      <c r="AJ52">
        <f t="shared" si="35"/>
        <v>500</v>
      </c>
      <c r="AK52" s="12">
        <f t="shared" si="55"/>
        <v>1.3466406526643471</v>
      </c>
      <c r="AL52" s="12">
        <f t="shared" si="56"/>
        <v>0</v>
      </c>
      <c r="AM52" s="12">
        <f t="shared" si="57"/>
        <v>9.9335057848989781</v>
      </c>
      <c r="AN52" s="12">
        <f t="shared" si="58"/>
        <v>5.1501683051251641</v>
      </c>
      <c r="AO52" s="12">
        <f t="shared" si="59"/>
        <v>10.095249002001729</v>
      </c>
      <c r="AP52" s="12">
        <f t="shared" si="60"/>
        <v>10.620497683942993</v>
      </c>
      <c r="AQ52" s="12">
        <f t="shared" si="61"/>
        <v>6.0254716509857431</v>
      </c>
      <c r="AR52" s="12">
        <f t="shared" si="62"/>
        <v>13.848247287607567</v>
      </c>
      <c r="AS52" s="12">
        <f t="shared" si="63"/>
        <v>4.1910610717344143</v>
      </c>
      <c r="AT52" s="12">
        <f t="shared" si="64"/>
        <v>3.4437323559550186</v>
      </c>
      <c r="AU52" s="12">
        <f t="shared" si="65"/>
        <v>6.1562716384511269</v>
      </c>
      <c r="AV52" s="12">
        <f t="shared" si="66"/>
        <v>8.4321428450638614</v>
      </c>
      <c r="AW52" s="12">
        <f t="shared" si="67"/>
        <v>6.4120996449660863</v>
      </c>
      <c r="AX52" s="12">
        <f t="shared" si="68"/>
        <v>6.533558784069549</v>
      </c>
      <c r="AY52" s="12">
        <f t="shared" si="69"/>
        <v>6.4319072995547799</v>
      </c>
      <c r="AZ52" s="12">
        <f t="shared" si="70"/>
        <v>5.720266303146138</v>
      </c>
      <c r="BA52" s="12"/>
    </row>
    <row r="53" spans="16:53" x14ac:dyDescent="0.2">
      <c r="P53">
        <f t="shared" si="36"/>
        <v>12.75</v>
      </c>
      <c r="Q53">
        <f t="shared" si="33"/>
        <v>510</v>
      </c>
      <c r="R53" s="12">
        <f t="shared" si="39"/>
        <v>-11.074863148775977</v>
      </c>
      <c r="S53" s="12">
        <f t="shared" si="40"/>
        <v>-14.297388166487149</v>
      </c>
      <c r="T53" s="12">
        <f t="shared" si="41"/>
        <v>1.8002653130021375</v>
      </c>
      <c r="U53" s="12">
        <f t="shared" si="42"/>
        <v>-7.9447933252205987</v>
      </c>
      <c r="V53" s="12">
        <f t="shared" si="43"/>
        <v>1.5636989398201742</v>
      </c>
      <c r="W53" s="12">
        <f t="shared" si="44"/>
        <v>4.0822664372181769</v>
      </c>
      <c r="X53" s="12">
        <f t="shared" si="45"/>
        <v>-2.5294635860873571</v>
      </c>
      <c r="Y53" s="12">
        <f t="shared" si="46"/>
        <v>9.274508408861621</v>
      </c>
      <c r="Z53" s="12">
        <f t="shared" si="47"/>
        <v>-2.9845020636163699</v>
      </c>
      <c r="AA53" s="12">
        <f t="shared" si="48"/>
        <v>-3.8496033351008725</v>
      </c>
      <c r="AB53" s="12">
        <f t="shared" si="49"/>
        <v>-0.7740989720633209</v>
      </c>
      <c r="AC53" s="12">
        <f t="shared" si="50"/>
        <v>3.0292039407158251</v>
      </c>
      <c r="AD53" s="12">
        <f t="shared" si="51"/>
        <v>-0.51641581984324514</v>
      </c>
      <c r="AE53" s="12">
        <f t="shared" si="52"/>
        <v>0.9817821106875515</v>
      </c>
      <c r="AF53" s="12">
        <f t="shared" si="53"/>
        <v>-0.84435394607753356</v>
      </c>
      <c r="AG53" s="12">
        <f t="shared" si="54"/>
        <v>0.25652724541582028</v>
      </c>
      <c r="AH53" s="12">
        <f t="shared" si="34"/>
        <v>23.554931577600509</v>
      </c>
      <c r="AJ53">
        <f t="shared" si="35"/>
        <v>510</v>
      </c>
      <c r="AK53" s="12">
        <f t="shared" si="55"/>
        <v>0.62745988095011429</v>
      </c>
      <c r="AL53" s="12">
        <f t="shared" si="56"/>
        <v>0</v>
      </c>
      <c r="AM53" s="12">
        <f t="shared" si="57"/>
        <v>9.4907859356000248</v>
      </c>
      <c r="AN53" s="12">
        <f t="shared" si="58"/>
        <v>4.9263352541947123</v>
      </c>
      <c r="AO53" s="12">
        <f t="shared" si="59"/>
        <v>9.6688727142663939</v>
      </c>
      <c r="AP53" s="12">
        <f t="shared" si="60"/>
        <v>10.159365485760619</v>
      </c>
      <c r="AQ53" s="12">
        <f t="shared" si="61"/>
        <v>5.8779848753702986</v>
      </c>
      <c r="AR53" s="12">
        <f t="shared" si="62"/>
        <v>13.508632120633989</v>
      </c>
      <c r="AS53" s="12">
        <f t="shared" si="63"/>
        <v>4.0575292216683874</v>
      </c>
      <c r="AT53" s="12">
        <f t="shared" si="64"/>
        <v>3.3343603022870307</v>
      </c>
      <c r="AU53" s="12">
        <f t="shared" si="65"/>
        <v>5.9664266592709811</v>
      </c>
      <c r="AV53" s="12">
        <f t="shared" si="66"/>
        <v>8.1367561739768561</v>
      </c>
      <c r="AW53" s="12">
        <f t="shared" si="67"/>
        <v>6.248984399815571</v>
      </c>
      <c r="AX53" s="12">
        <f t="shared" si="68"/>
        <v>6.4136710198238704</v>
      </c>
      <c r="AY53" s="12">
        <f t="shared" si="69"/>
        <v>6.329082595511367</v>
      </c>
      <c r="AZ53" s="12">
        <f t="shared" si="70"/>
        <v>5.6138335182033261</v>
      </c>
      <c r="BA53" s="12"/>
    </row>
    <row r="54" spans="16:53" x14ac:dyDescent="0.2">
      <c r="P54">
        <f t="shared" si="36"/>
        <v>13</v>
      </c>
      <c r="Q54">
        <f t="shared" si="33"/>
        <v>520</v>
      </c>
      <c r="R54" s="12">
        <f t="shared" si="39"/>
        <v>-11.856370674647881</v>
      </c>
      <c r="S54" s="12">
        <f t="shared" si="40"/>
        <v>-14.297388166487149</v>
      </c>
      <c r="T54" s="12">
        <f t="shared" si="41"/>
        <v>1.1038968423855895</v>
      </c>
      <c r="U54" s="12">
        <f t="shared" si="42"/>
        <v>-8.3161570888427487</v>
      </c>
      <c r="V54" s="12">
        <f t="shared" si="43"/>
        <v>0.89502255112748408</v>
      </c>
      <c r="W54" s="12">
        <f t="shared" si="44"/>
        <v>3.3700760406641894</v>
      </c>
      <c r="X54" s="12">
        <f t="shared" si="45"/>
        <v>-2.8167238550499381</v>
      </c>
      <c r="Y54" s="12">
        <f t="shared" si="46"/>
        <v>8.6641178655232451</v>
      </c>
      <c r="Z54" s="12">
        <f t="shared" si="47"/>
        <v>-3.2280302846863691</v>
      </c>
      <c r="AA54" s="12">
        <f t="shared" si="48"/>
        <v>-4.0506669675455687</v>
      </c>
      <c r="AB54" s="12">
        <f t="shared" si="49"/>
        <v>-1.1130593609260719</v>
      </c>
      <c r="AC54" s="12">
        <f t="shared" si="50"/>
        <v>2.5726337661575167</v>
      </c>
      <c r="AD54" s="12">
        <f t="shared" si="51"/>
        <v>-0.82336637144069957</v>
      </c>
      <c r="AE54" s="12">
        <f t="shared" si="52"/>
        <v>0.71702166464483152</v>
      </c>
      <c r="AF54" s="12">
        <f t="shared" si="53"/>
        <v>-1.0806614103246899</v>
      </c>
      <c r="AG54" s="12">
        <f t="shared" si="54"/>
        <v>3.3578207250112513E-2</v>
      </c>
      <c r="AH54" s="12">
        <f t="shared" si="34"/>
        <v>23.554931577600509</v>
      </c>
      <c r="AJ54">
        <f t="shared" si="35"/>
        <v>520</v>
      </c>
      <c r="AK54" s="12">
        <f t="shared" si="55"/>
        <v>0</v>
      </c>
      <c r="AL54" s="12">
        <f t="shared" si="56"/>
        <v>0</v>
      </c>
      <c r="AM54" s="12">
        <f t="shared" si="57"/>
        <v>9.0507903837860706</v>
      </c>
      <c r="AN54" s="12">
        <f t="shared" si="58"/>
        <v>4.7033206958987641</v>
      </c>
      <c r="AO54" s="12">
        <f t="shared" si="59"/>
        <v>9.2455930451241279</v>
      </c>
      <c r="AP54" s="12">
        <f t="shared" si="60"/>
        <v>9.7016899435056967</v>
      </c>
      <c r="AQ54" s="12">
        <f t="shared" si="61"/>
        <v>5.7317448650184497</v>
      </c>
      <c r="AR54" s="12">
        <f t="shared" si="62"/>
        <v>13.173486392954112</v>
      </c>
      <c r="AS54" s="12">
        <f t="shared" si="63"/>
        <v>3.9246555431998122</v>
      </c>
      <c r="AT54" s="12">
        <f t="shared" si="64"/>
        <v>3.2254793397348807</v>
      </c>
      <c r="AU54" s="12">
        <f t="shared" si="65"/>
        <v>5.7779334631757902</v>
      </c>
      <c r="AV54" s="12">
        <f t="shared" si="66"/>
        <v>7.8447511648236761</v>
      </c>
      <c r="AW54" s="12">
        <f t="shared" si="67"/>
        <v>6.0874037646210821</v>
      </c>
      <c r="AX54" s="12">
        <f t="shared" si="68"/>
        <v>6.2950574187955217</v>
      </c>
      <c r="AY54" s="12">
        <f t="shared" si="69"/>
        <v>6.2276953272602915</v>
      </c>
      <c r="AZ54" s="12">
        <f t="shared" si="70"/>
        <v>5.5088616275014424</v>
      </c>
      <c r="BA54" s="12"/>
    </row>
    <row r="55" spans="16:53" x14ac:dyDescent="0.2">
      <c r="P55">
        <f t="shared" si="36"/>
        <v>13.25</v>
      </c>
      <c r="Q55">
        <f t="shared" si="33"/>
        <v>530</v>
      </c>
      <c r="R55" s="12">
        <f t="shared" si="39"/>
        <v>-11.856370674647881</v>
      </c>
      <c r="S55" s="12">
        <f t="shared" si="40"/>
        <v>-14.297388166487149</v>
      </c>
      <c r="T55" s="12">
        <f t="shared" si="41"/>
        <v>0.43115732720754352</v>
      </c>
      <c r="U55" s="12">
        <f t="shared" si="42"/>
        <v>-8.6742509842462887</v>
      </c>
      <c r="V55" s="12">
        <f t="shared" si="43"/>
        <v>0.24871335817793572</v>
      </c>
      <c r="W55" s="12">
        <f t="shared" si="44"/>
        <v>2.681427867506379</v>
      </c>
      <c r="X55" s="12">
        <f t="shared" si="45"/>
        <v>-3.0937389316237489</v>
      </c>
      <c r="Y55" s="12">
        <f t="shared" si="46"/>
        <v>8.0746357831177065</v>
      </c>
      <c r="Z55" s="12">
        <f t="shared" si="47"/>
        <v>-3.4627925195850509</v>
      </c>
      <c r="AA55" s="12">
        <f t="shared" si="48"/>
        <v>-4.244457793778099</v>
      </c>
      <c r="AB55" s="12">
        <f t="shared" si="49"/>
        <v>-1.4400743502123223</v>
      </c>
      <c r="AC55" s="12">
        <f t="shared" si="50"/>
        <v>2.1307014637055692</v>
      </c>
      <c r="AD55" s="12">
        <f t="shared" si="51"/>
        <v>-1.1194995912509205</v>
      </c>
      <c r="AE55" s="12">
        <f t="shared" si="52"/>
        <v>0.46182153275522975</v>
      </c>
      <c r="AF55" s="12">
        <f t="shared" si="53"/>
        <v>-1.3084534559819101</v>
      </c>
      <c r="AG55" s="12">
        <f t="shared" si="54"/>
        <v>-0.18144835502710777</v>
      </c>
      <c r="AH55" s="12">
        <f t="shared" si="34"/>
        <v>23.554931577600509</v>
      </c>
      <c r="AJ55">
        <f t="shared" si="35"/>
        <v>530</v>
      </c>
      <c r="AK55" s="12">
        <f t="shared" si="55"/>
        <v>0</v>
      </c>
      <c r="AL55" s="12">
        <f t="shared" si="56"/>
        <v>0</v>
      </c>
      <c r="AM55" s="12">
        <f t="shared" si="57"/>
        <v>8.6132215961058556</v>
      </c>
      <c r="AN55" s="12">
        <f t="shared" si="58"/>
        <v>4.481032851197063</v>
      </c>
      <c r="AO55" s="12">
        <f t="shared" si="59"/>
        <v>8.8250827808095735</v>
      </c>
      <c r="AP55" s="12">
        <f t="shared" si="60"/>
        <v>9.2471044871971042</v>
      </c>
      <c r="AQ55" s="12">
        <f t="shared" si="61"/>
        <v>5.5866365013026469</v>
      </c>
      <c r="AR55" s="12">
        <f t="shared" si="62"/>
        <v>12.842414023185203</v>
      </c>
      <c r="AS55" s="12">
        <f t="shared" si="63"/>
        <v>3.7923736769672449</v>
      </c>
      <c r="AT55" s="12">
        <f t="shared" si="64"/>
        <v>3.1170397903944984</v>
      </c>
      <c r="AU55" s="12">
        <f t="shared" si="65"/>
        <v>5.5906597228602752</v>
      </c>
      <c r="AV55" s="12">
        <f t="shared" si="66"/>
        <v>7.5558072623902435</v>
      </c>
      <c r="AW55" s="12">
        <f t="shared" si="67"/>
        <v>5.9272162187897131</v>
      </c>
      <c r="AX55" s="12">
        <f t="shared" si="68"/>
        <v>6.1776070141148303</v>
      </c>
      <c r="AY55" s="12">
        <f t="shared" si="69"/>
        <v>6.1276244142305769</v>
      </c>
      <c r="AZ55" s="12">
        <f t="shared" si="70"/>
        <v>5.4052255557498441</v>
      </c>
      <c r="BA55" s="12"/>
    </row>
    <row r="56" spans="16:53" x14ac:dyDescent="0.2">
      <c r="P56">
        <f t="shared" si="36"/>
        <v>13.5</v>
      </c>
      <c r="Q56">
        <f t="shared" si="33"/>
        <v>540</v>
      </c>
      <c r="R56" s="12">
        <f t="shared" si="39"/>
        <v>-11.856370674647881</v>
      </c>
      <c r="S56" s="12">
        <f t="shared" si="40"/>
        <v>-14.297388166487149</v>
      </c>
      <c r="T56" s="12">
        <f t="shared" si="41"/>
        <v>-0.21913582426856593</v>
      </c>
      <c r="U56" s="12">
        <f t="shared" si="42"/>
        <v>-9.019773781308988</v>
      </c>
      <c r="V56" s="12">
        <f t="shared" si="43"/>
        <v>-0.37633245037631191</v>
      </c>
      <c r="W56" s="12">
        <f t="shared" si="44"/>
        <v>2.0151735771020842</v>
      </c>
      <c r="X56" s="12">
        <f t="shared" si="45"/>
        <v>-3.3610473082082688</v>
      </c>
      <c r="Y56" s="12">
        <f t="shared" si="46"/>
        <v>7.5050059465723313</v>
      </c>
      <c r="Z56" s="12">
        <f t="shared" si="47"/>
        <v>-3.6892537080317744</v>
      </c>
      <c r="AA56" s="12">
        <f t="shared" si="48"/>
        <v>-4.4313634080902098</v>
      </c>
      <c r="AB56" s="12">
        <f t="shared" si="49"/>
        <v>-1.7557644627527509</v>
      </c>
      <c r="AC56" s="12">
        <f t="shared" si="50"/>
        <v>1.7027141933205163</v>
      </c>
      <c r="AD56" s="12">
        <f t="shared" si="51"/>
        <v>-1.4053774028243069</v>
      </c>
      <c r="AE56" s="12">
        <f t="shared" si="52"/>
        <v>0.2156730739885262</v>
      </c>
      <c r="AF56" s="12">
        <f t="shared" si="53"/>
        <v>-1.5281822205262889</v>
      </c>
      <c r="AG56" s="12">
        <f t="shared" si="54"/>
        <v>-0.38896735623556467</v>
      </c>
      <c r="AH56" s="12">
        <f t="shared" si="34"/>
        <v>23.554931577600509</v>
      </c>
      <c r="AJ56">
        <f t="shared" si="35"/>
        <v>540</v>
      </c>
      <c r="AK56" s="12">
        <f t="shared" si="55"/>
        <v>0</v>
      </c>
      <c r="AL56" s="12">
        <f t="shared" si="56"/>
        <v>0</v>
      </c>
      <c r="AM56" s="12">
        <f t="shared" si="57"/>
        <v>8.1778123189150769</v>
      </c>
      <c r="AN56" s="12">
        <f t="shared" si="58"/>
        <v>4.2593896896335366</v>
      </c>
      <c r="AO56" s="12">
        <f t="shared" si="59"/>
        <v>8.4070473590799626</v>
      </c>
      <c r="AP56" s="12">
        <f t="shared" si="60"/>
        <v>8.7952788747810917</v>
      </c>
      <c r="AQ56" s="12">
        <f t="shared" si="61"/>
        <v>5.4425560670011794</v>
      </c>
      <c r="AR56" s="12">
        <f t="shared" si="62"/>
        <v>12.515056629435716</v>
      </c>
      <c r="AS56" s="12">
        <f t="shared" si="63"/>
        <v>3.6606240976365454</v>
      </c>
      <c r="AT56" s="12">
        <f t="shared" si="64"/>
        <v>3.0089971139587179</v>
      </c>
      <c r="AU56" s="12">
        <f t="shared" si="65"/>
        <v>5.4044864192356075</v>
      </c>
      <c r="AV56" s="12">
        <f t="shared" si="66"/>
        <v>7.2696339510143702</v>
      </c>
      <c r="AW56" s="12">
        <f t="shared" si="67"/>
        <v>5.7682941546141127</v>
      </c>
      <c r="AX56" s="12">
        <f t="shared" si="68"/>
        <v>6.0612196339497553</v>
      </c>
      <c r="AY56" s="12">
        <f t="shared" si="69"/>
        <v>6.0287603646986545</v>
      </c>
      <c r="AZ56" s="12">
        <f t="shared" si="70"/>
        <v>5.3028122003791855</v>
      </c>
      <c r="BA56" s="12"/>
    </row>
    <row r="57" spans="16:53" x14ac:dyDescent="0.2">
      <c r="P57">
        <f t="shared" si="36"/>
        <v>13.75</v>
      </c>
      <c r="Q57">
        <f t="shared" si="33"/>
        <v>550</v>
      </c>
      <c r="R57" s="12">
        <f t="shared" si="39"/>
        <v>-11.856370674647881</v>
      </c>
      <c r="S57" s="12">
        <f t="shared" si="40"/>
        <v>-14.297388166487149</v>
      </c>
      <c r="T57" s="12">
        <f t="shared" si="41"/>
        <v>-0.84808758292556163</v>
      </c>
      <c r="U57" s="12">
        <f t="shared" si="42"/>
        <v>-9.3533760347582593</v>
      </c>
      <c r="V57" s="12">
        <f t="shared" si="43"/>
        <v>-0.98114723115858915</v>
      </c>
      <c r="W57" s="12">
        <f t="shared" si="44"/>
        <v>1.3702383188000056</v>
      </c>
      <c r="X57" s="12">
        <f t="shared" si="45"/>
        <v>-3.6191503890889765</v>
      </c>
      <c r="Y57" s="12">
        <f t="shared" si="46"/>
        <v>6.9542421039585287</v>
      </c>
      <c r="Z57" s="12">
        <f t="shared" si="47"/>
        <v>-3.9078464809965476</v>
      </c>
      <c r="AA57" s="12">
        <f t="shared" si="48"/>
        <v>-4.6117443437545464</v>
      </c>
      <c r="AB57" s="12">
        <f t="shared" si="49"/>
        <v>-2.0607079741800467</v>
      </c>
      <c r="AC57" s="12">
        <f t="shared" si="50"/>
        <v>1.288022160509164</v>
      </c>
      <c r="AD57" s="12">
        <f t="shared" si="51"/>
        <v>-1.6815234721414916</v>
      </c>
      <c r="AE57" s="12">
        <f t="shared" si="52"/>
        <v>-2.1896899531795633E-2</v>
      </c>
      <c r="AF57" s="12">
        <f t="shared" si="53"/>
        <v>-1.7402683889838046</v>
      </c>
      <c r="AG57" s="12">
        <f t="shared" si="54"/>
        <v>-0.58936523516000072</v>
      </c>
      <c r="AH57" s="12">
        <f t="shared" si="34"/>
        <v>23.554931577600509</v>
      </c>
      <c r="AJ57">
        <f t="shared" si="35"/>
        <v>550</v>
      </c>
      <c r="AK57" s="12">
        <f t="shared" si="55"/>
        <v>0</v>
      </c>
      <c r="AL57" s="12">
        <f t="shared" si="56"/>
        <v>0</v>
      </c>
      <c r="AM57" s="12">
        <f t="shared" si="57"/>
        <v>7.7443222526869713</v>
      </c>
      <c r="AN57" s="12">
        <f t="shared" si="58"/>
        <v>4.0383178084092846</v>
      </c>
      <c r="AO57" s="12">
        <f t="shared" si="59"/>
        <v>7.9912213417819444</v>
      </c>
      <c r="AP57" s="12">
        <f t="shared" si="60"/>
        <v>8.3459153031028777</v>
      </c>
      <c r="AQ57" s="12">
        <f t="shared" si="61"/>
        <v>5.299409982648462</v>
      </c>
      <c r="AR57" s="12">
        <f t="shared" si="62"/>
        <v>12.191089510352301</v>
      </c>
      <c r="AS57" s="12">
        <f t="shared" si="63"/>
        <v>3.5293533375212638</v>
      </c>
      <c r="AT57" s="12">
        <f t="shared" si="64"/>
        <v>2.9013113214988961</v>
      </c>
      <c r="AU57" s="12">
        <f t="shared" si="65"/>
        <v>5.2193063622662734</v>
      </c>
      <c r="AV57" s="12">
        <f t="shared" si="66"/>
        <v>6.9859676716837003</v>
      </c>
      <c r="AW57" s="12">
        <f t="shared" si="67"/>
        <v>5.6105223493330456</v>
      </c>
      <c r="AX57" s="12">
        <f t="shared" si="68"/>
        <v>5.9458047107055583</v>
      </c>
      <c r="AY57" s="12">
        <f t="shared" si="69"/>
        <v>5.9310040103064265</v>
      </c>
      <c r="AZ57" s="12">
        <f t="shared" si="70"/>
        <v>5.2015191313289337</v>
      </c>
      <c r="BA57" s="12"/>
    </row>
    <row r="58" spans="16:53" x14ac:dyDescent="0.2">
      <c r="P58">
        <f t="shared" si="36"/>
        <v>14</v>
      </c>
      <c r="Q58">
        <f t="shared" si="33"/>
        <v>560</v>
      </c>
      <c r="R58" s="12">
        <f t="shared" si="39"/>
        <v>-11.856370674647881</v>
      </c>
      <c r="S58" s="12">
        <f t="shared" si="40"/>
        <v>-14.297388166487149</v>
      </c>
      <c r="T58" s="12">
        <f t="shared" si="41"/>
        <v>-1.4567315644042704</v>
      </c>
      <c r="U58" s="12">
        <f t="shared" si="42"/>
        <v>-9.675664172211647</v>
      </c>
      <c r="V58" s="12">
        <f t="shared" si="43"/>
        <v>-1.5666975759706485</v>
      </c>
      <c r="W58" s="12">
        <f t="shared" si="44"/>
        <v>0.74561494562195563</v>
      </c>
      <c r="X58" s="12">
        <f t="shared" si="45"/>
        <v>-3.8685156293966676</v>
      </c>
      <c r="Y58" s="12">
        <f t="shared" si="46"/>
        <v>6.4214222679553226</v>
      </c>
      <c r="Z58" s="12">
        <f t="shared" si="47"/>
        <v>-4.1189739192042119</v>
      </c>
      <c r="AA58" s="12">
        <f t="shared" si="48"/>
        <v>-4.7859363941893172</v>
      </c>
      <c r="AB58" s="12">
        <f t="shared" si="49"/>
        <v>-2.3554444481634471</v>
      </c>
      <c r="AC58" s="12">
        <f t="shared" si="50"/>
        <v>0.88601532447677744</v>
      </c>
      <c r="AD58" s="12">
        <f t="shared" si="51"/>
        <v>-1.9484264089968226</v>
      </c>
      <c r="AE58" s="12">
        <f t="shared" si="52"/>
        <v>-0.25132915855658755</v>
      </c>
      <c r="AF58" s="12">
        <f t="shared" si="53"/>
        <v>-1.9451038821233739</v>
      </c>
      <c r="AG58" s="12">
        <f t="shared" si="54"/>
        <v>-0.78300235626691883</v>
      </c>
      <c r="AH58" s="12">
        <f t="shared" si="34"/>
        <v>23.554931577600509</v>
      </c>
      <c r="AJ58">
        <f t="shared" si="35"/>
        <v>560</v>
      </c>
      <c r="AK58" s="12">
        <f t="shared" si="55"/>
        <v>0</v>
      </c>
      <c r="AL58" s="12">
        <f t="shared" si="56"/>
        <v>0</v>
      </c>
      <c r="AM58" s="12">
        <f t="shared" si="57"/>
        <v>7.3125351287307918</v>
      </c>
      <c r="AN58" s="12">
        <f t="shared" si="58"/>
        <v>3.8177514535208203</v>
      </c>
      <c r="AO58" s="12">
        <f t="shared" si="59"/>
        <v>7.5773653077346035</v>
      </c>
      <c r="AP58" s="12">
        <f t="shared" si="60"/>
        <v>7.8987449777361567</v>
      </c>
      <c r="AQ58" s="12">
        <f t="shared" si="61"/>
        <v>5.1571136993875628</v>
      </c>
      <c r="AR58" s="12">
        <f t="shared" si="62"/>
        <v>11.870218105271185</v>
      </c>
      <c r="AS58" s="12">
        <f t="shared" si="63"/>
        <v>3.3985133081520038</v>
      </c>
      <c r="AT58" s="12">
        <f t="shared" si="64"/>
        <v>2.7939464635314706</v>
      </c>
      <c r="AU58" s="12">
        <f t="shared" si="65"/>
        <v>5.0350228945577582</v>
      </c>
      <c r="AV58" s="12">
        <f t="shared" si="66"/>
        <v>6.7045690898189045</v>
      </c>
      <c r="AW58" s="12">
        <f t="shared" si="67"/>
        <v>5.4537966245757037</v>
      </c>
      <c r="AX58" s="12">
        <f t="shared" si="68"/>
        <v>5.8312802378700788</v>
      </c>
      <c r="AY58" s="12">
        <f t="shared" si="69"/>
        <v>5.8342653963560389</v>
      </c>
      <c r="AZ58" s="12">
        <f t="shared" si="70"/>
        <v>5.1012534496023267</v>
      </c>
      <c r="BA58" s="12"/>
    </row>
    <row r="59" spans="16:53" x14ac:dyDescent="0.2">
      <c r="P59">
        <f t="shared" si="36"/>
        <v>14.25</v>
      </c>
      <c r="Q59">
        <f t="shared" si="33"/>
        <v>570</v>
      </c>
      <c r="R59" s="12">
        <f t="shared" si="39"/>
        <v>-11.856370674647881</v>
      </c>
      <c r="S59" s="12">
        <f t="shared" si="40"/>
        <v>-14.297388166487149</v>
      </c>
      <c r="T59" s="12">
        <f t="shared" si="41"/>
        <v>-2.0460356974400193</v>
      </c>
      <c r="U59" s="12">
        <f t="shared" si="42"/>
        <v>-9.9872041732153942</v>
      </c>
      <c r="V59" s="12">
        <f t="shared" si="43"/>
        <v>-2.1338894665179886</v>
      </c>
      <c r="W59" s="12">
        <f t="shared" si="44"/>
        <v>0.14035876617974097</v>
      </c>
      <c r="X59" s="12">
        <f t="shared" si="45"/>
        <v>-4.1095793605735862</v>
      </c>
      <c r="Y59" s="12">
        <f t="shared" si="46"/>
        <v>5.9056835653639039</v>
      </c>
      <c r="Z59" s="12">
        <f t="shared" si="47"/>
        <v>-4.3230120337600368</v>
      </c>
      <c r="AA59" s="12">
        <f t="shared" si="48"/>
        <v>-4.954252699234404</v>
      </c>
      <c r="AB59" s="12">
        <f t="shared" si="49"/>
        <v>-2.6404779224935897</v>
      </c>
      <c r="AC59" s="12">
        <f t="shared" si="50"/>
        <v>0.49612040381585043</v>
      </c>
      <c r="AD59" s="12">
        <f t="shared" si="51"/>
        <v>-2.2065426522042308</v>
      </c>
      <c r="AE59" s="12">
        <f t="shared" si="52"/>
        <v>-0.47303478600451587</v>
      </c>
      <c r="AF59" s="12">
        <f t="shared" si="53"/>
        <v>-2.1430542735774294</v>
      </c>
      <c r="AG59" s="12">
        <f t="shared" si="54"/>
        <v>-0.97021517237581634</v>
      </c>
      <c r="AH59" s="12">
        <f t="shared" si="34"/>
        <v>23.554931577600509</v>
      </c>
      <c r="AJ59">
        <f t="shared" si="35"/>
        <v>570</v>
      </c>
      <c r="AK59" s="12">
        <f t="shared" si="55"/>
        <v>0</v>
      </c>
      <c r="AL59" s="12">
        <f t="shared" si="56"/>
        <v>0</v>
      </c>
      <c r="AM59" s="12">
        <f t="shared" si="57"/>
        <v>6.882256134701219</v>
      </c>
      <c r="AN59" s="12">
        <f t="shared" si="58"/>
        <v>3.5976316631656613</v>
      </c>
      <c r="AO59" s="12">
        <f t="shared" si="59"/>
        <v>7.1652631108134557</v>
      </c>
      <c r="AP59" s="12">
        <f t="shared" si="60"/>
        <v>7.4535250821085102</v>
      </c>
      <c r="AQ59" s="12">
        <f t="shared" si="61"/>
        <v>5.0155907268629685</v>
      </c>
      <c r="AR59" s="12">
        <f t="shared" si="62"/>
        <v>11.552174870190381</v>
      </c>
      <c r="AS59" s="12">
        <f t="shared" si="63"/>
        <v>3.2680607061566969</v>
      </c>
      <c r="AT59" s="12">
        <f t="shared" si="64"/>
        <v>2.6868701819807517</v>
      </c>
      <c r="AU59" s="12">
        <f t="shared" si="65"/>
        <v>4.8515487527599328</v>
      </c>
      <c r="AV59" s="12">
        <f t="shared" si="66"/>
        <v>6.4252206697232843</v>
      </c>
      <c r="AW59" s="12">
        <f t="shared" si="67"/>
        <v>5.2980226677508835</v>
      </c>
      <c r="AX59" s="12">
        <f t="shared" si="68"/>
        <v>5.7175718541724025</v>
      </c>
      <c r="AY59" s="12">
        <f t="shared" si="69"/>
        <v>5.7384628065492125</v>
      </c>
      <c r="AZ59" s="12">
        <f t="shared" si="70"/>
        <v>5.0019307830498327</v>
      </c>
      <c r="BA59" s="12"/>
    </row>
    <row r="60" spans="16:53" x14ac:dyDescent="0.2">
      <c r="P60">
        <f t="shared" si="36"/>
        <v>14.5</v>
      </c>
      <c r="Q60">
        <f t="shared" si="33"/>
        <v>580</v>
      </c>
      <c r="R60" s="12">
        <f t="shared" si="39"/>
        <v>-11.856370674647881</v>
      </c>
      <c r="S60" s="12">
        <f t="shared" si="40"/>
        <v>-14.297388166487149</v>
      </c>
      <c r="T60" s="12">
        <f t="shared" si="41"/>
        <v>-2.616907360310293</v>
      </c>
      <c r="U60" s="12">
        <f t="shared" si="42"/>
        <v>-10.288524886238161</v>
      </c>
      <c r="V60" s="12">
        <f t="shared" si="43"/>
        <v>-2.6835729517780429</v>
      </c>
      <c r="W60" s="12">
        <f t="shared" si="44"/>
        <v>-0.44641722269130035</v>
      </c>
      <c r="X60" s="12">
        <f t="shared" si="45"/>
        <v>-4.342749338275647</v>
      </c>
      <c r="Y60" s="12">
        <f t="shared" si="46"/>
        <v>5.406217574150145</v>
      </c>
      <c r="Z60" s="12">
        <f t="shared" si="47"/>
        <v>-4.5203120010150695</v>
      </c>
      <c r="AA60" s="12">
        <f t="shared" si="48"/>
        <v>-5.1169856238099332</v>
      </c>
      <c r="AB60" s="12">
        <f t="shared" si="49"/>
        <v>-2.9162797855964229</v>
      </c>
      <c r="AC60" s="12">
        <f t="shared" si="50"/>
        <v>0.11779814882183626</v>
      </c>
      <c r="AD60" s="12">
        <f t="shared" si="51"/>
        <v>-2.456299074466596</v>
      </c>
      <c r="AE60" s="12">
        <f t="shared" si="52"/>
        <v>-0.68739763507708318</v>
      </c>
      <c r="AF60" s="12">
        <f t="shared" si="53"/>
        <v>-2.33446096725236</v>
      </c>
      <c r="AG60" s="12">
        <f t="shared" si="54"/>
        <v>-1.1513181755898572</v>
      </c>
      <c r="AH60" s="12">
        <f t="shared" si="34"/>
        <v>23.554931577600509</v>
      </c>
      <c r="AJ60">
        <f t="shared" si="35"/>
        <v>580</v>
      </c>
      <c r="AK60" s="12">
        <f t="shared" si="55"/>
        <v>0</v>
      </c>
      <c r="AL60" s="12">
        <f t="shared" si="56"/>
        <v>0</v>
      </c>
      <c r="AM60" s="12">
        <f t="shared" si="57"/>
        <v>6.4533096431580592</v>
      </c>
      <c r="AN60" s="12">
        <f t="shared" si="58"/>
        <v>3.3779055166299718</v>
      </c>
      <c r="AO60" s="12">
        <f t="shared" si="59"/>
        <v>6.7547194560189503</v>
      </c>
      <c r="AP60" s="12">
        <f t="shared" si="60"/>
        <v>7.0100360948093439</v>
      </c>
      <c r="AQ60" s="12">
        <f t="shared" si="61"/>
        <v>4.8747717779183866</v>
      </c>
      <c r="AR60" s="12">
        <f t="shared" si="62"/>
        <v>11.236716515449297</v>
      </c>
      <c r="AS60" s="12">
        <f t="shared" si="63"/>
        <v>3.1379564918915186</v>
      </c>
      <c r="AT60" s="12">
        <f t="shared" si="64"/>
        <v>2.5800533172389395</v>
      </c>
      <c r="AU60" s="12">
        <f t="shared" si="65"/>
        <v>4.668805065575599</v>
      </c>
      <c r="AV60" s="12">
        <f t="shared" si="66"/>
        <v>6.1477245177295057</v>
      </c>
      <c r="AW60" s="12">
        <f t="shared" si="67"/>
        <v>5.1431149937281315</v>
      </c>
      <c r="AX60" s="12">
        <f t="shared" si="68"/>
        <v>5.6046120377979021</v>
      </c>
      <c r="AY60" s="12">
        <f t="shared" si="69"/>
        <v>5.6435219040506963</v>
      </c>
      <c r="AZ60" s="12">
        <f t="shared" si="70"/>
        <v>4.9034744010522973</v>
      </c>
      <c r="BA60" s="12"/>
    </row>
    <row r="61" spans="16:53" x14ac:dyDescent="0.2">
      <c r="P61">
        <f t="shared" si="36"/>
        <v>14.75</v>
      </c>
      <c r="Q61">
        <f t="shared" si="33"/>
        <v>590</v>
      </c>
      <c r="R61" s="12">
        <f t="shared" si="39"/>
        <v>-11.856370674647881</v>
      </c>
      <c r="S61" s="12">
        <f t="shared" si="40"/>
        <v>-14.297388166487149</v>
      </c>
      <c r="T61" s="12">
        <f t="shared" si="41"/>
        <v>-3.1701980427249588</v>
      </c>
      <c r="U61" s="12">
        <f t="shared" si="42"/>
        <v>-10.580121024515012</v>
      </c>
      <c r="V61" s="12">
        <f t="shared" si="43"/>
        <v>-3.2165463988011149</v>
      </c>
      <c r="W61" s="12">
        <f t="shared" si="44"/>
        <v>-1.0155466731814196</v>
      </c>
      <c r="X61" s="12">
        <f t="shared" si="45"/>
        <v>-4.5684070440096169</v>
      </c>
      <c r="Y61" s="12">
        <f t="shared" si="46"/>
        <v>4.922266095012346</v>
      </c>
      <c r="Z61" s="12">
        <f t="shared" si="47"/>
        <v>-4.7112021796157002</v>
      </c>
      <c r="AA61" s="12">
        <f t="shared" si="48"/>
        <v>-5.2744084526687551</v>
      </c>
      <c r="AB61" s="12">
        <f t="shared" si="49"/>
        <v>-3.1832913780090379</v>
      </c>
      <c r="AC61" s="12">
        <f t="shared" si="50"/>
        <v>-0.24945914685773829</v>
      </c>
      <c r="AD61" s="12">
        <f t="shared" si="51"/>
        <v>-2.6980953381803277</v>
      </c>
      <c r="AE61" s="12">
        <f t="shared" si="52"/>
        <v>-0.8947765471176119</v>
      </c>
      <c r="AF61" s="12">
        <f t="shared" si="53"/>
        <v>-2.5196431623123665</v>
      </c>
      <c r="AG61" s="12">
        <f t="shared" si="54"/>
        <v>-1.3266056602836294</v>
      </c>
      <c r="AH61" s="12">
        <f t="shared" si="34"/>
        <v>23.554931577600509</v>
      </c>
      <c r="AJ61">
        <f t="shared" si="35"/>
        <v>590</v>
      </c>
      <c r="AK61" s="12">
        <f t="shared" si="55"/>
        <v>0</v>
      </c>
      <c r="AL61" s="12">
        <f t="shared" si="56"/>
        <v>0</v>
      </c>
      <c r="AM61" s="12">
        <f t="shared" si="57"/>
        <v>6.0255372039868877</v>
      </c>
      <c r="AN61" s="12">
        <f t="shared" si="58"/>
        <v>3.1585254743888656</v>
      </c>
      <c r="AO61" s="12">
        <f t="shared" si="59"/>
        <v>6.3455577529835656</v>
      </c>
      <c r="AP61" s="12">
        <f t="shared" si="60"/>
        <v>6.5680794111162193</v>
      </c>
      <c r="AQ61" s="12">
        <f t="shared" si="61"/>
        <v>4.7345940145642373</v>
      </c>
      <c r="AR61" s="12">
        <f t="shared" si="62"/>
        <v>10.923621558728234</v>
      </c>
      <c r="AS61" s="12">
        <f t="shared" si="63"/>
        <v>3.00816543099649</v>
      </c>
      <c r="AT61" s="12">
        <f t="shared" si="64"/>
        <v>2.4734695628500352</v>
      </c>
      <c r="AU61" s="12">
        <f t="shared" si="65"/>
        <v>4.4867204702844168</v>
      </c>
      <c r="AV61" s="12">
        <f t="shared" si="66"/>
        <v>5.8719004612206644</v>
      </c>
      <c r="AW61" s="12">
        <f t="shared" si="67"/>
        <v>4.9889960283318713</v>
      </c>
      <c r="AX61" s="12">
        <f t="shared" si="68"/>
        <v>5.4923393959719879</v>
      </c>
      <c r="AY61" s="12">
        <f t="shared" si="69"/>
        <v>5.5493749734406785</v>
      </c>
      <c r="AZ61" s="12">
        <f t="shared" si="70"/>
        <v>4.8058144324647145</v>
      </c>
      <c r="BA61" s="12"/>
    </row>
    <row r="62" spans="16:53" x14ac:dyDescent="0.2">
      <c r="P62">
        <f t="shared" si="36"/>
        <v>15</v>
      </c>
      <c r="Q62">
        <f t="shared" si="33"/>
        <v>600</v>
      </c>
      <c r="R62" s="12">
        <f t="shared" si="39"/>
        <v>-11.856370674647881</v>
      </c>
      <c r="S62" s="12">
        <f t="shared" si="40"/>
        <v>-14.297388166487149</v>
      </c>
      <c r="T62" s="12">
        <f t="shared" si="41"/>
        <v>-3.7067075835353078</v>
      </c>
      <c r="U62" s="12">
        <f t="shared" si="42"/>
        <v>-10.862455876441446</v>
      </c>
      <c r="V62" s="12">
        <f t="shared" si="43"/>
        <v>-3.733560361650305</v>
      </c>
      <c r="W62" s="12">
        <f t="shared" si="44"/>
        <v>-1.5678138382407596</v>
      </c>
      <c r="X62" s="12">
        <f t="shared" si="45"/>
        <v>-4.7869097678346932</v>
      </c>
      <c r="Y62" s="12">
        <f t="shared" si="46"/>
        <v>4.4531173109559399</v>
      </c>
      <c r="Z62" s="12">
        <f t="shared" si="47"/>
        <v>-4.8959899341086217</v>
      </c>
      <c r="AA62" s="12">
        <f t="shared" si="48"/>
        <v>-5.4267769219092017</v>
      </c>
      <c r="AB62" s="12">
        <f t="shared" si="49"/>
        <v>-3.4419263490169447</v>
      </c>
      <c r="AC62" s="12">
        <f t="shared" si="50"/>
        <v>-0.6061299193873122</v>
      </c>
      <c r="AD62" s="12">
        <f t="shared" si="51"/>
        <v>-2.9323060295228318</v>
      </c>
      <c r="AE62" s="12">
        <f t="shared" si="52"/>
        <v>-1.0955073561715043</v>
      </c>
      <c r="AF62" s="12">
        <f t="shared" si="53"/>
        <v>-2.6988996295281522</v>
      </c>
      <c r="AG62" s="12">
        <f t="shared" si="54"/>
        <v>-1.4963533189373299</v>
      </c>
      <c r="AH62" s="12">
        <f t="shared" si="34"/>
        <v>23.554931577600509</v>
      </c>
      <c r="AJ62">
        <f t="shared" si="35"/>
        <v>600</v>
      </c>
      <c r="AK62" s="12">
        <f t="shared" si="55"/>
        <v>0</v>
      </c>
      <c r="AL62" s="12">
        <f t="shared" si="56"/>
        <v>0</v>
      </c>
      <c r="AM62" s="12">
        <f t="shared" si="57"/>
        <v>5.5987957670251154</v>
      </c>
      <c r="AN62" s="12">
        <f t="shared" si="58"/>
        <v>2.9394487972571843</v>
      </c>
      <c r="AO62" s="12">
        <f t="shared" si="59"/>
        <v>5.9376182120200731</v>
      </c>
      <c r="AP62" s="12">
        <f t="shared" si="60"/>
        <v>6.1274752308397815</v>
      </c>
      <c r="AQ62" s="12">
        <f t="shared" si="61"/>
        <v>4.5950003819447689</v>
      </c>
      <c r="AR62" s="12">
        <f t="shared" si="62"/>
        <v>10.612688153506486</v>
      </c>
      <c r="AS62" s="12">
        <f t="shared" si="63"/>
        <v>2.8786556905018226</v>
      </c>
      <c r="AT62" s="12">
        <f t="shared" si="64"/>
        <v>2.3670951614533542</v>
      </c>
      <c r="AU62" s="12">
        <f t="shared" si="65"/>
        <v>4.3052303323146051</v>
      </c>
      <c r="AV62" s="12">
        <f t="shared" si="66"/>
        <v>5.5975843350916925</v>
      </c>
      <c r="AW62" s="12">
        <f t="shared" si="67"/>
        <v>4.8355952978378482</v>
      </c>
      <c r="AX62" s="12">
        <f t="shared" si="68"/>
        <v>5.3806980373779982</v>
      </c>
      <c r="AY62" s="12">
        <f t="shared" si="69"/>
        <v>5.4559602503731881</v>
      </c>
      <c r="AZ62" s="12">
        <f t="shared" si="70"/>
        <v>4.708887173441723</v>
      </c>
      <c r="BA62" s="12"/>
    </row>
    <row r="63" spans="16:53" x14ac:dyDescent="0.2">
      <c r="P63">
        <f t="shared" si="36"/>
        <v>15.25</v>
      </c>
      <c r="Q63">
        <f t="shared" si="33"/>
        <v>610</v>
      </c>
      <c r="R63" s="12">
        <f t="shared" si="39"/>
        <v>-11.856370674647881</v>
      </c>
      <c r="S63" s="12">
        <f t="shared" si="40"/>
        <v>-14.297388166487149</v>
      </c>
      <c r="T63" s="12">
        <f t="shared" si="41"/>
        <v>-4.2271880286177135</v>
      </c>
      <c r="U63" s="12">
        <f t="shared" si="42"/>
        <v>-11.135963761752725</v>
      </c>
      <c r="V63" s="12">
        <f t="shared" si="43"/>
        <v>-4.2353211079109201</v>
      </c>
      <c r="W63" s="12">
        <f t="shared" si="44"/>
        <v>-2.103957177192795</v>
      </c>
      <c r="X63" s="12">
        <f t="shared" si="45"/>
        <v>-4.9985924960456725</v>
      </c>
      <c r="Y63" s="12">
        <f t="shared" si="46"/>
        <v>3.9981022939628845</v>
      </c>
      <c r="Z63" s="12">
        <f t="shared" si="47"/>
        <v>-5.0749632864049801</v>
      </c>
      <c r="AA63" s="12">
        <f t="shared" si="48"/>
        <v>-5.5743306053021442</v>
      </c>
      <c r="AB63" s="12">
        <f t="shared" si="49"/>
        <v>-3.6925727949211691</v>
      </c>
      <c r="AC63" s="12">
        <f t="shared" si="50"/>
        <v>-0.95266541412226857</v>
      </c>
      <c r="AD63" s="12">
        <f t="shared" si="51"/>
        <v>-3.1592825947916294</v>
      </c>
      <c r="AE63" s="12">
        <f t="shared" si="52"/>
        <v>-1.2899047038027414</v>
      </c>
      <c r="AF63" s="12">
        <f t="shared" si="53"/>
        <v>-2.8725103197844764</v>
      </c>
      <c r="AG63" s="12">
        <f t="shared" si="54"/>
        <v>-1.6608196890193456</v>
      </c>
      <c r="AH63" s="12">
        <f t="shared" si="34"/>
        <v>23.554931577600509</v>
      </c>
      <c r="AJ63">
        <f t="shared" si="35"/>
        <v>610</v>
      </c>
      <c r="AK63" s="12">
        <f t="shared" si="55"/>
        <v>0</v>
      </c>
      <c r="AL63" s="12">
        <f t="shared" si="56"/>
        <v>0</v>
      </c>
      <c r="AM63" s="12">
        <f t="shared" si="57"/>
        <v>5.172956105924662</v>
      </c>
      <c r="AN63" s="12">
        <f t="shared" si="58"/>
        <v>2.7206370341984885</v>
      </c>
      <c r="AO63" s="12">
        <f t="shared" si="59"/>
        <v>5.5307561526086548</v>
      </c>
      <c r="AP63" s="12">
        <f t="shared" si="60"/>
        <v>5.6880606797444981</v>
      </c>
      <c r="AQ63" s="12">
        <f t="shared" si="61"/>
        <v>4.4559390189413168</v>
      </c>
      <c r="AR63" s="12">
        <f t="shared" si="62"/>
        <v>10.30373215864603</v>
      </c>
      <c r="AS63" s="12">
        <f t="shared" si="63"/>
        <v>2.7493984823301338</v>
      </c>
      <c r="AT63" s="12">
        <f t="shared" si="64"/>
        <v>2.2609086365527227</v>
      </c>
      <c r="AU63" s="12">
        <f t="shared" si="65"/>
        <v>4.1242760546044321</v>
      </c>
      <c r="AV63" s="12">
        <f t="shared" si="66"/>
        <v>5.3246264509687169</v>
      </c>
      <c r="AW63" s="12">
        <f t="shared" si="67"/>
        <v>4.6828487109108892</v>
      </c>
      <c r="AX63" s="12">
        <f t="shared" si="68"/>
        <v>5.2696370166845057</v>
      </c>
      <c r="AY63" s="12">
        <f t="shared" si="69"/>
        <v>5.363221327651873</v>
      </c>
      <c r="AZ63" s="12">
        <f t="shared" si="70"/>
        <v>4.6126344736706786</v>
      </c>
      <c r="BA63" s="12"/>
    </row>
    <row r="64" spans="16:53" x14ac:dyDescent="0.2">
      <c r="P64">
        <f t="shared" si="36"/>
        <v>15.5</v>
      </c>
      <c r="Q64">
        <f t="shared" si="33"/>
        <v>620</v>
      </c>
      <c r="R64" s="12">
        <f t="shared" si="39"/>
        <v>-11.856370674647881</v>
      </c>
      <c r="S64" s="12">
        <f t="shared" si="40"/>
        <v>-14.297388166487149</v>
      </c>
      <c r="T64" s="12">
        <f t="shared" si="41"/>
        <v>-4.7323471480649921</v>
      </c>
      <c r="U64" s="12">
        <f t="shared" si="42"/>
        <v>-11.401052260877666</v>
      </c>
      <c r="V64" s="12">
        <f t="shared" si="43"/>
        <v>-4.7224938376144658</v>
      </c>
      <c r="W64" s="12">
        <f t="shared" si="44"/>
        <v>-2.6246726500862616</v>
      </c>
      <c r="X64" s="12">
        <f t="shared" si="45"/>
        <v>-5.2037696248148446</v>
      </c>
      <c r="Y64" s="12">
        <f t="shared" si="46"/>
        <v>3.5565918227002902</v>
      </c>
      <c r="Z64" s="12">
        <f t="shared" si="47"/>
        <v>-5.2483924137676379</v>
      </c>
      <c r="AA64" s="12">
        <f t="shared" si="48"/>
        <v>-5.7172941712399936</v>
      </c>
      <c r="AB64" s="12">
        <f t="shared" si="49"/>
        <v>-3.9355952021831033</v>
      </c>
      <c r="AC64" s="12">
        <f t="shared" si="50"/>
        <v>-1.289491590206274</v>
      </c>
      <c r="AD64" s="12">
        <f t="shared" si="51"/>
        <v>-3.3793551000476834</v>
      </c>
      <c r="AE64" s="12">
        <f t="shared" si="52"/>
        <v>-1.4782636847949941</v>
      </c>
      <c r="AF64" s="12">
        <f t="shared" si="53"/>
        <v>-3.0407378229616242</v>
      </c>
      <c r="AG64" s="12">
        <f t="shared" si="54"/>
        <v>-1.820247466888719</v>
      </c>
      <c r="AH64" s="12">
        <f t="shared" si="34"/>
        <v>23.554931577600509</v>
      </c>
      <c r="AJ64">
        <f t="shared" si="35"/>
        <v>620</v>
      </c>
      <c r="AK64" s="12">
        <f t="shared" si="55"/>
        <v>0</v>
      </c>
      <c r="AL64" s="12">
        <f t="shared" si="56"/>
        <v>0</v>
      </c>
      <c r="AM64" s="12">
        <f t="shared" si="57"/>
        <v>4.747901418261514</v>
      </c>
      <c r="AN64" s="12">
        <f t="shared" si="58"/>
        <v>2.5020555698909246</v>
      </c>
      <c r="AO64" s="12">
        <f t="shared" si="59"/>
        <v>5.124840498300772</v>
      </c>
      <c r="AP64" s="12">
        <f t="shared" si="60"/>
        <v>5.2496881361986008</v>
      </c>
      <c r="AQ64" s="12">
        <f t="shared" si="61"/>
        <v>4.3173627356568947</v>
      </c>
      <c r="AR64" s="12">
        <f t="shared" si="62"/>
        <v>9.9965854194620505</v>
      </c>
      <c r="AS64" s="12">
        <f t="shared" si="63"/>
        <v>2.6203677480662928</v>
      </c>
      <c r="AT64" s="12">
        <f t="shared" si="64"/>
        <v>2.1548905554602684</v>
      </c>
      <c r="AU64" s="12">
        <f t="shared" si="65"/>
        <v>3.9438044653623328</v>
      </c>
      <c r="AV64" s="12">
        <f t="shared" si="66"/>
        <v>5.0528902277177021</v>
      </c>
      <c r="AW64" s="12">
        <f t="shared" si="67"/>
        <v>4.5306979213247152</v>
      </c>
      <c r="AX64" s="12">
        <f t="shared" si="68"/>
        <v>5.1591098419827226</v>
      </c>
      <c r="AY64" s="12">
        <f t="shared" si="69"/>
        <v>5.2711066280325385</v>
      </c>
      <c r="AZ64" s="12">
        <f t="shared" si="70"/>
        <v>4.5170031911477757</v>
      </c>
      <c r="BA64" s="12"/>
    </row>
    <row r="65" spans="16:53" x14ac:dyDescent="0.2">
      <c r="P65">
        <f t="shared" si="36"/>
        <v>15.75</v>
      </c>
      <c r="Q65">
        <f t="shared" si="33"/>
        <v>630</v>
      </c>
      <c r="R65" s="12">
        <f t="shared" si="39"/>
        <v>-11.856370674647881</v>
      </c>
      <c r="S65" s="12">
        <f t="shared" si="40"/>
        <v>-14.297388166487149</v>
      </c>
      <c r="T65" s="12">
        <f t="shared" si="41"/>
        <v>-5.2228516472775794</v>
      </c>
      <c r="U65" s="12">
        <f t="shared" si="42"/>
        <v>-11.658104241534772</v>
      </c>
      <c r="V65" s="12">
        <f t="shared" si="43"/>
        <v>-5.1957056254277729</v>
      </c>
      <c r="W65" s="12">
        <f t="shared" si="44"/>
        <v>-3.1306167316895843</v>
      </c>
      <c r="X65" s="12">
        <f t="shared" si="45"/>
        <v>-5.4027365182300233</v>
      </c>
      <c r="Y65" s="12">
        <f t="shared" si="46"/>
        <v>3.1279934794307271</v>
      </c>
      <c r="Z65" s="12">
        <f t="shared" si="47"/>
        <v>-5.4165310097081969</v>
      </c>
      <c r="AA65" s="12">
        <f t="shared" si="48"/>
        <v>-5.8558785241783351</v>
      </c>
      <c r="AB65" s="12">
        <f t="shared" si="49"/>
        <v>-4.1713362159088998</v>
      </c>
      <c r="AC65" s="12">
        <f t="shared" si="50"/>
        <v>-1.6170108672898591</v>
      </c>
      <c r="AD65" s="12">
        <f t="shared" si="51"/>
        <v>-3.5928338325923752</v>
      </c>
      <c r="AE65" s="12">
        <f t="shared" si="52"/>
        <v>-1.6608613418418861</v>
      </c>
      <c r="AF65" s="12">
        <f t="shared" si="53"/>
        <v>-3.2038286931810624</v>
      </c>
      <c r="AG65" s="12">
        <f t="shared" si="54"/>
        <v>-1.9748647027613622</v>
      </c>
      <c r="AH65" s="12">
        <f t="shared" si="34"/>
        <v>23.554931577600509</v>
      </c>
      <c r="AJ65">
        <f t="shared" si="35"/>
        <v>630</v>
      </c>
      <c r="AK65" s="12">
        <f t="shared" si="55"/>
        <v>0</v>
      </c>
      <c r="AL65" s="12">
        <f t="shared" si="56"/>
        <v>0</v>
      </c>
      <c r="AM65" s="12">
        <f t="shared" si="57"/>
        <v>4.3235260802889535</v>
      </c>
      <c r="AN65" s="12">
        <f t="shared" si="58"/>
        <v>2.2836732244075848</v>
      </c>
      <c r="AO65" s="12">
        <f t="shared" si="59"/>
        <v>4.7197524354984042</v>
      </c>
      <c r="AP65" s="12">
        <f t="shared" si="60"/>
        <v>4.8122237384624329</v>
      </c>
      <c r="AQ65" s="12">
        <f t="shared" si="61"/>
        <v>4.1792285493885739</v>
      </c>
      <c r="AR65" s="12">
        <f t="shared" si="62"/>
        <v>9.6910942346380171</v>
      </c>
      <c r="AS65" s="12">
        <f t="shared" si="63"/>
        <v>2.4915398797332169</v>
      </c>
      <c r="AT65" s="12">
        <f t="shared" si="64"/>
        <v>2.0490233194241392</v>
      </c>
      <c r="AU65" s="12">
        <f t="shared" si="65"/>
        <v>3.763767274416014</v>
      </c>
      <c r="AV65" s="12">
        <f t="shared" si="66"/>
        <v>4.7822509645332456</v>
      </c>
      <c r="AW65" s="12">
        <f t="shared" si="67"/>
        <v>4.3790897614165498</v>
      </c>
      <c r="AX65" s="12">
        <f t="shared" si="68"/>
        <v>5.0490740372240399</v>
      </c>
      <c r="AY65" s="12">
        <f t="shared" si="69"/>
        <v>5.1795689354134486</v>
      </c>
      <c r="AZ65" s="12">
        <f t="shared" si="70"/>
        <v>4.4219447069964497</v>
      </c>
      <c r="BA65" s="12"/>
    </row>
    <row r="66" spans="16:53" x14ac:dyDescent="0.2">
      <c r="P66">
        <f t="shared" si="36"/>
        <v>16</v>
      </c>
      <c r="Q66">
        <f t="shared" si="33"/>
        <v>640</v>
      </c>
      <c r="R66" s="12">
        <f t="shared" si="39"/>
        <v>-11.856370674647881</v>
      </c>
      <c r="S66" s="12">
        <f t="shared" si="40"/>
        <v>-14.297388166487149</v>
      </c>
      <c r="T66" s="12">
        <f t="shared" si="41"/>
        <v>-5.6993301025898848</v>
      </c>
      <c r="U66" s="12">
        <f t="shared" si="42"/>
        <v>-11.907479703763496</v>
      </c>
      <c r="V66" s="12">
        <f t="shared" si="43"/>
        <v>-5.6555481134717622</v>
      </c>
      <c r="W66" s="12">
        <f t="shared" si="44"/>
        <v>-3.6224091725741783</v>
      </c>
      <c r="X66" s="12">
        <f t="shared" si="45"/>
        <v>-5.5957709269671039</v>
      </c>
      <c r="Y66" s="12">
        <f t="shared" si="46"/>
        <v>2.711748997957323</v>
      </c>
      <c r="Z66" s="12">
        <f t="shared" si="47"/>
        <v>-5.5796175222108229</v>
      </c>
      <c r="AA66" s="12">
        <f t="shared" si="48"/>
        <v>-5.9902818427670699</v>
      </c>
      <c r="AB66" s="12">
        <f t="shared" si="49"/>
        <v>-4.4001182517190678</v>
      </c>
      <c r="AC66" s="12">
        <f t="shared" si="50"/>
        <v>-1.9356037294305564</v>
      </c>
      <c r="AD66" s="12">
        <f t="shared" si="51"/>
        <v>-3.8000107606196636</v>
      </c>
      <c r="AE66" s="12">
        <f t="shared" si="52"/>
        <v>-1.8379580251492298</v>
      </c>
      <c r="AF66" s="12">
        <f t="shared" si="53"/>
        <v>-3.3620146544820155</v>
      </c>
      <c r="AG66" s="12">
        <f t="shared" si="54"/>
        <v>-2.1248858891139113</v>
      </c>
      <c r="AH66" s="12">
        <f t="shared" si="34"/>
        <v>23.554931577600509</v>
      </c>
      <c r="AJ66">
        <f t="shared" si="35"/>
        <v>640</v>
      </c>
      <c r="AK66" s="12">
        <f t="shared" si="55"/>
        <v>0</v>
      </c>
      <c r="AL66" s="12">
        <f t="shared" si="56"/>
        <v>0</v>
      </c>
      <c r="AM66" s="12">
        <f t="shared" si="57"/>
        <v>3.8997345376203754</v>
      </c>
      <c r="AN66" s="12">
        <f t="shared" si="58"/>
        <v>2.065461898435125</v>
      </c>
      <c r="AO66" s="12">
        <f t="shared" si="59"/>
        <v>4.3153842165427569</v>
      </c>
      <c r="AP66" s="12">
        <f t="shared" si="60"/>
        <v>4.3755460512405966</v>
      </c>
      <c r="AQ66" s="12">
        <f t="shared" si="61"/>
        <v>4.0414972718489217</v>
      </c>
      <c r="AR66" s="12">
        <f t="shared" si="62"/>
        <v>9.3871179867533758</v>
      </c>
      <c r="AS66" s="12">
        <f t="shared" si="63"/>
        <v>2.3628934720456987</v>
      </c>
      <c r="AT66" s="12">
        <f t="shared" si="64"/>
        <v>1.94329097750812</v>
      </c>
      <c r="AU66" s="12">
        <f t="shared" si="65"/>
        <v>3.5841205896839403</v>
      </c>
      <c r="AV66" s="12">
        <f t="shared" si="66"/>
        <v>4.5125947402724655</v>
      </c>
      <c r="AW66" s="12">
        <f t="shared" si="67"/>
        <v>4.22797573759886</v>
      </c>
      <c r="AX66" s="12">
        <f t="shared" si="68"/>
        <v>4.9394907528403866</v>
      </c>
      <c r="AY66" s="12">
        <f t="shared" si="69"/>
        <v>5.0885649772207078</v>
      </c>
      <c r="AZ66" s="12">
        <f t="shared" si="70"/>
        <v>4.3274144929859615</v>
      </c>
      <c r="BA66" s="12"/>
    </row>
    <row r="67" spans="16:53" x14ac:dyDescent="0.2">
      <c r="P67">
        <f t="shared" si="36"/>
        <v>16.25</v>
      </c>
      <c r="Q67">
        <f t="shared" si="33"/>
        <v>650</v>
      </c>
      <c r="R67" s="12">
        <f t="shared" ref="R67:R102" si="71">SingleCoilTorque($F$23,$G$23,$H$23,$I$23,$J$23,$K$23,$C$2,$M$23,$P67)-$N$23</f>
        <v>-11.856370674647881</v>
      </c>
      <c r="S67" s="12">
        <f t="shared" ref="S67:S102" si="72">SingleCoilTorque($F$24,$G$24,$H$24,$I$24,$J$24,$K$24,$C$2,$M$24,$P67)-$N$24</f>
        <v>-14.297388166487149</v>
      </c>
      <c r="T67" s="12">
        <f t="shared" ref="T67:T102" si="73">SingleCoilTorque($F$25,$G$25,$H$25,$I$25,$J$25,$K$25,$C$2,$M$25,$P67)-$N$25</f>
        <v>-6.1623756486126293</v>
      </c>
      <c r="U67" s="12">
        <f t="shared" ref="U67:U102" si="74">SingleCoilTorque($F$26,$G$26,$H$26,$I$26,$J$26,$K$26,$C$2,$M$26,$P67)-$N$26</f>
        <v>-12.149517462089117</v>
      </c>
      <c r="V67" s="12">
        <f t="shared" ref="V67:V102" si="75">SingleCoilTorque($F$27,$G$27,$H$27,$I$27,$J$27,$K$27,$C$2,$M$27,$P67)-$N$27</f>
        <v>-6.1025799790847639</v>
      </c>
      <c r="W67" s="12">
        <f t="shared" ref="W67:W102" si="76">SingleCoilTorque($F$28,$G$28,$H$28,$I$28,$J$28,$K$28,$C$2,$M$28,$P67)-$N$28</f>
        <v>-4.1006355317045262</v>
      </c>
      <c r="X67" s="12">
        <f t="shared" ref="X67:X102" si="77">SingleCoilTorque($F$29,$G$29,$H$29,$I$29,$J$29,$K$29,$C$2,$M$29,$P67)-$N$29</f>
        <v>-5.7831342819273956</v>
      </c>
      <c r="Y67" s="12">
        <f t="shared" ref="Y67:Y102" si="78">SingleCoilTorque($F$30,$G$30,$H$30,$I$30,$J$30,$K$30,$C$2,$M$30,$P67)-$N$30</f>
        <v>2.3073318376382419</v>
      </c>
      <c r="Z67" s="12">
        <f t="shared" ref="Z67:Z102" si="79">SingleCoilTorque($F$31,$G$31,$H$31,$I$31,$J$31,$K$31,$C$2,$M$31,$P67)-$N$31</f>
        <v>-5.7378762819928886</v>
      </c>
      <c r="AA67" s="12">
        <f t="shared" ref="AA67:AA102" si="80">SingleCoilTorque($F$32,$G$32,$H$32,$I$32,$J$32,$K$32,$C$2,$M$32,$P67)-$N$32</f>
        <v>-6.120690525417853</v>
      </c>
      <c r="AB67" s="12">
        <f t="shared" ref="AB67:AB102" si="81">SingleCoilTorque($F$33,$G$33,$H$33,$I$33,$J$33,$K$33,$C$2,$M$33,$P67)-$N$33</f>
        <v>-4.6222449669491175</v>
      </c>
      <c r="AC67" s="12">
        <f t="shared" ref="AC67:AC102" si="82">SingleCoilTorque($F$34,$G$34,$H$34,$I$34,$J$34,$K$34,$C$2,$M$34,$P67)-$N$34</f>
        <v>-2.2456301996149977</v>
      </c>
      <c r="AD67" s="12">
        <f t="shared" ref="AD67:AD102" si="83">SingleCoilTorque($F$35,$G$35,$H$35,$I$35,$J$35,$K$35,$C$2,$M$35,$P67)-$N$35</f>
        <v>-4.0011608654833974</v>
      </c>
      <c r="AE67" s="12">
        <f t="shared" ref="AE67:AE102" si="84">SingleCoilTorque($F$36,$G$36,$H$36,$I$36,$J$36,$K$36,$C$2,$M$36,$P67)-$N$36</f>
        <v>-2.0097986309817779</v>
      </c>
      <c r="AF67" s="12">
        <f t="shared" ref="AF67:AF102" si="85">SingleCoilTorque($F$37,$G$37,$H$37,$I$37,$J$37,$K$37,$C$2,$M$37,$P67)-$N$37</f>
        <v>-3.5155136993284994</v>
      </c>
      <c r="AG67" s="12">
        <f t="shared" ref="AG67:AG102" si="86">SingleCoilTorque($F$38,$G$38,$H$38,$I$38,$J$38,$K$38,$C$2,$M$38,$P67)-$N$38</f>
        <v>-2.2705129534495239</v>
      </c>
      <c r="AH67" s="12">
        <f t="shared" si="34"/>
        <v>23.554931577600509</v>
      </c>
      <c r="AJ67">
        <f t="shared" si="35"/>
        <v>650</v>
      </c>
      <c r="AK67" s="12">
        <f t="shared" ref="AK67:AK102" si="87">StepperPower($F$23,$G$23,$H$23,$I$23,$J$23,$K$23,$C$2,$M$23,$P67)</f>
        <v>0</v>
      </c>
      <c r="AL67" s="12">
        <f t="shared" ref="AL67:AL102" si="88">StepperPower($F$24,$G$24,$H$24,$I$24,$J$24,$K$24,$C$2,$M$24,$P67)</f>
        <v>0</v>
      </c>
      <c r="AM67" s="12">
        <f t="shared" ref="AM67:AM102" si="89">StepperPower($F$25,$G$25,$H$25,$I$25,$J$25,$K$25,$C$2,$M$25,$P67)</f>
        <v>3.4764403155977277</v>
      </c>
      <c r="AN67" s="12">
        <f t="shared" ref="AN67:AN102" si="90">StepperPower($F$26,$G$26,$H$26,$I$26,$J$26,$K$26,$C$2,$M$26,$P67)</f>
        <v>1.8473962583593582</v>
      </c>
      <c r="AO67" s="12">
        <f t="shared" ref="AO67:AO102" si="91">StepperPower($F$27,$G$27,$H$27,$I$27,$J$27,$K$27,$C$2,$M$27,$P67)</f>
        <v>3.9116380900963112</v>
      </c>
      <c r="AP67" s="12">
        <f t="shared" ref="AP67:AP102" si="92">StepperPower($F$28,$G$28,$H$28,$I$28,$J$28,$K$28,$C$2,$M$28,$P67)</f>
        <v>3.9395448728834048</v>
      </c>
      <c r="AQ67" s="12">
        <f t="shared" ref="AQ67:AQ102" si="93">StepperPower($F$29,$G$29,$H$29,$I$29,$J$29,$K$29,$C$2,$M$29,$P67)</f>
        <v>3.904133141379786</v>
      </c>
      <c r="AR67" s="12">
        <f t="shared" ref="AR67:AR102" si="94">StepperPower($F$30,$G$30,$H$30,$I$30,$J$30,$K$30,$C$2,$M$30,$P67)</f>
        <v>9.0845279171090567</v>
      </c>
      <c r="AS67" s="12">
        <f t="shared" ref="AS67:AS102" si="95">StepperPower($F$31,$G$31,$H$31,$I$31,$J$31,$K$31,$C$2,$M$31,$P67)</f>
        <v>2.2344091022369392</v>
      </c>
      <c r="AT67" s="12">
        <f t="shared" ref="AT67:AT102" si="96">StepperPower($F$32,$G$32,$H$32,$I$32,$J$32,$K$32,$C$2,$M$32,$P67)</f>
        <v>1.8376790612649296</v>
      </c>
      <c r="AU67" s="12">
        <f t="shared" ref="AU67:AU102" si="97">StepperPower($F$33,$G$33,$H$33,$I$33,$J$33,$K$33,$C$2,$M$33,$P67)</f>
        <v>3.4048244864460795</v>
      </c>
      <c r="AV67" s="12">
        <f t="shared" ref="AV67:AV102" si="98">StepperPower($F$34,$G$34,$H$34,$I$34,$J$34,$K$34,$C$2,$M$34,$P67)</f>
        <v>4.2438174247459735</v>
      </c>
      <c r="AW67" s="12">
        <f t="shared" ref="AW67:AW102" si="99">StepperPower($F$35,$G$35,$H$35,$I$35,$J$35,$K$35,$C$2,$M$35,$P67)</f>
        <v>4.0773115804174438</v>
      </c>
      <c r="AX67" s="12">
        <f t="shared" ref="AX67:AX102" si="100">StepperPower($F$36,$G$36,$H$36,$I$36,$J$36,$K$36,$C$2,$M$36,$P67)</f>
        <v>4.8303244186585239</v>
      </c>
      <c r="AY67" s="12">
        <f t="shared" ref="AY67:AY102" si="101">StepperPower($F$37,$G$37,$H$37,$I$37,$J$37,$K$37,$C$2,$M$37,$P67)</f>
        <v>4.9980550517706988</v>
      </c>
      <c r="AZ67" s="12">
        <f t="shared" ref="AZ67:AZ102" si="102">StepperPower($F$38,$G$38,$H$38,$I$38,$J$38,$K$38,$C$2,$M$38,$P67)</f>
        <v>4.233371725394651</v>
      </c>
      <c r="BA67" s="12"/>
    </row>
    <row r="68" spans="16:53" x14ac:dyDescent="0.2">
      <c r="P68">
        <f t="shared" si="36"/>
        <v>16.5</v>
      </c>
      <c r="Q68">
        <f t="shared" ref="Q68:Q102" si="103">P68*$C$6*2/$C$7</f>
        <v>660</v>
      </c>
      <c r="R68" s="12">
        <f t="shared" si="71"/>
        <v>-11.856370674647881</v>
      </c>
      <c r="S68" s="12">
        <f t="shared" si="72"/>
        <v>-14.297388166487149</v>
      </c>
      <c r="T68" s="12">
        <f t="shared" si="73"/>
        <v>-6.6125484414492686</v>
      </c>
      <c r="U68" s="12">
        <f t="shared" si="74"/>
        <v>-12.384536681350864</v>
      </c>
      <c r="V68" s="12">
        <f t="shared" si="75"/>
        <v>-6.5373291991730298</v>
      </c>
      <c r="W68" s="12">
        <f t="shared" si="76"/>
        <v>-4.5658495022952792</v>
      </c>
      <c r="X68" s="12">
        <f t="shared" si="77"/>
        <v>-5.9650728755102644</v>
      </c>
      <c r="Y68" s="12">
        <f t="shared" si="78"/>
        <v>1.9142449613027308</v>
      </c>
      <c r="Z68" s="12">
        <f t="shared" si="79"/>
        <v>-5.8915185320293286</v>
      </c>
      <c r="AA68" s="12">
        <f t="shared" si="80"/>
        <v>-6.247280052795726</v>
      </c>
      <c r="AB68" s="12">
        <f t="shared" si="81"/>
        <v>-4.8380026052982696</v>
      </c>
      <c r="AC68" s="12">
        <f t="shared" si="82"/>
        <v>-2.5474311969170937</v>
      </c>
      <c r="AD68" s="12">
        <f t="shared" si="83"/>
        <v>-4.1965433593636856</v>
      </c>
      <c r="AE68" s="12">
        <f t="shared" si="84"/>
        <v>-2.1766137315455172</v>
      </c>
      <c r="AF68" s="12">
        <f t="shared" si="85"/>
        <v>-3.6645310908982749</v>
      </c>
      <c r="AG68" s="12">
        <f t="shared" si="86"/>
        <v>-2.4119361650884144</v>
      </c>
      <c r="AH68" s="12">
        <f t="shared" ref="AH68:AH102" si="104">$C$11</f>
        <v>23.554931577600509</v>
      </c>
      <c r="AJ68">
        <f t="shared" ref="AJ68:AJ102" si="105">Q68</f>
        <v>660</v>
      </c>
      <c r="AK68" s="12">
        <f t="shared" si="87"/>
        <v>0</v>
      </c>
      <c r="AL68" s="12">
        <f t="shared" si="88"/>
        <v>0</v>
      </c>
      <c r="AM68" s="12">
        <f t="shared" si="89"/>
        <v>3.0535651352185704</v>
      </c>
      <c r="AN68" s="12">
        <f t="shared" si="90"/>
        <v>1.6294534563165253</v>
      </c>
      <c r="AO68" s="12">
        <f t="shared" si="91"/>
        <v>3.5084253439914956</v>
      </c>
      <c r="AP68" s="12">
        <f t="shared" si="92"/>
        <v>3.5041201669967768</v>
      </c>
      <c r="AQ68" s="12">
        <f t="shared" si="93"/>
        <v>3.7671034947390454</v>
      </c>
      <c r="AR68" s="12">
        <f t="shared" si="94"/>
        <v>8.7832060280367621</v>
      </c>
      <c r="AS68" s="12">
        <f t="shared" si="95"/>
        <v>2.1060691340821993</v>
      </c>
      <c r="AT68" s="12">
        <f t="shared" si="96"/>
        <v>1.7321744376477706</v>
      </c>
      <c r="AU68" s="12">
        <f t="shared" si="97"/>
        <v>3.225842623066471</v>
      </c>
      <c r="AV68" s="12">
        <f t="shared" si="98"/>
        <v>3.9758237894463568</v>
      </c>
      <c r="AW68" s="12">
        <f t="shared" si="99"/>
        <v>3.9270568426412389</v>
      </c>
      <c r="AX68" s="12">
        <f t="shared" si="100"/>
        <v>4.7215424340101038</v>
      </c>
      <c r="AY68" s="12">
        <f t="shared" si="101"/>
        <v>4.9080026952223577</v>
      </c>
      <c r="AZ68" s="12">
        <f t="shared" si="102"/>
        <v>4.1397789397046978</v>
      </c>
      <c r="BA68" s="12"/>
    </row>
    <row r="69" spans="16:53" x14ac:dyDescent="0.2">
      <c r="P69">
        <f t="shared" ref="P69:P102" si="106">P68+0.25</f>
        <v>16.75</v>
      </c>
      <c r="Q69">
        <f t="shared" si="103"/>
        <v>670</v>
      </c>
      <c r="R69" s="12">
        <f t="shared" si="71"/>
        <v>-11.856370674647881</v>
      </c>
      <c r="S69" s="12">
        <f t="shared" si="72"/>
        <v>-14.297388166487149</v>
      </c>
      <c r="T69" s="12">
        <f t="shared" si="73"/>
        <v>-7.0503779192952107</v>
      </c>
      <c r="U69" s="12">
        <f t="shared" si="74"/>
        <v>-12.612838280833051</v>
      </c>
      <c r="V69" s="12">
        <f t="shared" si="75"/>
        <v>-6.9602951304448535</v>
      </c>
      <c r="W69" s="12">
        <f t="shared" si="76"/>
        <v>-5.0185750503591882</v>
      </c>
      <c r="X69" s="12">
        <f t="shared" si="77"/>
        <v>-6.1418189417452247</v>
      </c>
      <c r="Y69" s="12">
        <f t="shared" si="78"/>
        <v>1.5320187973510535</v>
      </c>
      <c r="Z69" s="12">
        <f t="shared" si="79"/>
        <v>-6.0407433682765301</v>
      </c>
      <c r="AA69" s="12">
        <f t="shared" si="80"/>
        <v>-6.3702157756274183</v>
      </c>
      <c r="AB69" s="12">
        <f t="shared" si="81"/>
        <v>-5.0476612274469437</v>
      </c>
      <c r="AC69" s="12">
        <f t="shared" si="82"/>
        <v>-2.8413297870480587</v>
      </c>
      <c r="AD69" s="12">
        <f t="shared" si="83"/>
        <v>-4.3864027996706048</v>
      </c>
      <c r="AE69" s="12">
        <f t="shared" si="84"/>
        <v>-2.3386206071678437</v>
      </c>
      <c r="AF69" s="12">
        <f t="shared" si="85"/>
        <v>-3.8092602788446142</v>
      </c>
      <c r="AG69" s="12">
        <f t="shared" si="86"/>
        <v>-2.5493349645460905</v>
      </c>
      <c r="AH69" s="12">
        <f t="shared" si="104"/>
        <v>23.554931577600509</v>
      </c>
      <c r="AJ69">
        <f t="shared" si="105"/>
        <v>670</v>
      </c>
      <c r="AK69" s="12">
        <f t="shared" si="87"/>
        <v>0</v>
      </c>
      <c r="AL69" s="12">
        <f t="shared" si="88"/>
        <v>0</v>
      </c>
      <c r="AM69" s="12">
        <f t="shared" si="89"/>
        <v>2.6310381223124497</v>
      </c>
      <c r="AN69" s="12">
        <f t="shared" si="90"/>
        <v>1.4116128809656756</v>
      </c>
      <c r="AO69" s="12">
        <f t="shared" si="91"/>
        <v>3.1056654476030472</v>
      </c>
      <c r="AP69" s="12">
        <f t="shared" si="92"/>
        <v>3.0691811042650388</v>
      </c>
      <c r="AQ69" s="12">
        <f t="shared" si="93"/>
        <v>3.6303784737563447</v>
      </c>
      <c r="AR69" s="12">
        <f t="shared" si="94"/>
        <v>8.483044098026733</v>
      </c>
      <c r="AS69" s="12">
        <f t="shared" si="95"/>
        <v>1.977857543195723</v>
      </c>
      <c r="AT69" s="12">
        <f t="shared" si="96"/>
        <v>1.6267651779479975</v>
      </c>
      <c r="AU69" s="12">
        <f t="shared" si="97"/>
        <v>3.047141897654905</v>
      </c>
      <c r="AV69" s="12">
        <f t="shared" si="98"/>
        <v>3.7085267067252157</v>
      </c>
      <c r="AW69" s="12">
        <f t="shared" si="99"/>
        <v>3.7771745397218837</v>
      </c>
      <c r="AX69" s="12">
        <f t="shared" si="100"/>
        <v>4.6131148906145283</v>
      </c>
      <c r="AY69" s="12">
        <f t="shared" si="101"/>
        <v>4.8183743834418999</v>
      </c>
      <c r="AZ69" s="12">
        <f t="shared" si="102"/>
        <v>4.0466017213359633</v>
      </c>
      <c r="BA69" s="12"/>
    </row>
    <row r="70" spans="16:53" x14ac:dyDescent="0.2">
      <c r="P70">
        <f t="shared" si="106"/>
        <v>17</v>
      </c>
      <c r="Q70">
        <f t="shared" si="103"/>
        <v>680</v>
      </c>
      <c r="R70" s="12">
        <f t="shared" si="71"/>
        <v>-11.856370674647881</v>
      </c>
      <c r="S70" s="12">
        <f t="shared" si="72"/>
        <v>-14.297388166487149</v>
      </c>
      <c r="T70" s="12">
        <f t="shared" si="73"/>
        <v>-7.4763648796013129</v>
      </c>
      <c r="U70" s="12">
        <f t="shared" si="74"/>
        <v>-12.834706219688686</v>
      </c>
      <c r="V70" s="12">
        <f t="shared" si="75"/>
        <v>-7.371950422760416</v>
      </c>
      <c r="W70" s="12">
        <f t="shared" si="76"/>
        <v>-5.4593083833115053</v>
      </c>
      <c r="X70" s="12">
        <f t="shared" si="77"/>
        <v>-6.3135916452442569</v>
      </c>
      <c r="Y70" s="12">
        <f t="shared" si="78"/>
        <v>1.1602093684698458</v>
      </c>
      <c r="Z70" s="12">
        <f t="shared" si="79"/>
        <v>-6.1857386004050579</v>
      </c>
      <c r="AA70" s="12">
        <f t="shared" si="80"/>
        <v>-6.4896536352636334</v>
      </c>
      <c r="AB70" s="12">
        <f t="shared" si="81"/>
        <v>-5.2514758387677958</v>
      </c>
      <c r="AC70" s="12">
        <f t="shared" si="82"/>
        <v>-3.1276323359420481</v>
      </c>
      <c r="AD70" s="12">
        <f t="shared" si="83"/>
        <v>-4.5709701102594771</v>
      </c>
      <c r="AE70" s="12">
        <f t="shared" si="84"/>
        <v>-2.4960241904920917</v>
      </c>
      <c r="AF70" s="12">
        <f t="shared" si="85"/>
        <v>-3.9498837371220707</v>
      </c>
      <c r="AG70" s="12">
        <f t="shared" si="86"/>
        <v>-2.6828787231012128</v>
      </c>
      <c r="AH70" s="12">
        <f t="shared" si="104"/>
        <v>23.554931577600509</v>
      </c>
      <c r="AJ70">
        <f t="shared" si="105"/>
        <v>680</v>
      </c>
      <c r="AK70" s="12">
        <f t="shared" si="87"/>
        <v>0</v>
      </c>
      <c r="AL70" s="12">
        <f t="shared" si="88"/>
        <v>0</v>
      </c>
      <c r="AM70" s="12">
        <f t="shared" si="89"/>
        <v>2.208795099221744</v>
      </c>
      <c r="AN70" s="12">
        <f t="shared" si="90"/>
        <v>1.1938559352990956</v>
      </c>
      <c r="AO70" s="12">
        <f t="shared" si="91"/>
        <v>2.7032852824257576</v>
      </c>
      <c r="AP70" s="12">
        <f t="shared" si="92"/>
        <v>2.6346452020573743</v>
      </c>
      <c r="AQ70" s="12">
        <f t="shared" si="93"/>
        <v>3.4939307627666567</v>
      </c>
      <c r="AR70" s="12">
        <f t="shared" si="94"/>
        <v>8.1839427968585525</v>
      </c>
      <c r="AS70" s="12">
        <f t="shared" si="95"/>
        <v>1.8497597610632102</v>
      </c>
      <c r="AT70" s="12">
        <f t="shared" si="96"/>
        <v>1.5214404408399913</v>
      </c>
      <c r="AU70" s="12">
        <f t="shared" si="97"/>
        <v>2.8686921408703325</v>
      </c>
      <c r="AV70" s="12">
        <f t="shared" si="98"/>
        <v>3.4418464277574801</v>
      </c>
      <c r="AW70" s="12">
        <f t="shared" si="99"/>
        <v>3.627630827692335</v>
      </c>
      <c r="AX70" s="12">
        <f t="shared" si="100"/>
        <v>4.5050143243894798</v>
      </c>
      <c r="AY70" s="12">
        <f t="shared" si="101"/>
        <v>4.7291392647105699</v>
      </c>
      <c r="AZ70" s="12">
        <f t="shared" si="102"/>
        <v>3.9538084282446473</v>
      </c>
      <c r="BA70" s="12"/>
    </row>
    <row r="71" spans="16:53" x14ac:dyDescent="0.2">
      <c r="P71">
        <f t="shared" si="106"/>
        <v>17.25</v>
      </c>
      <c r="Q71">
        <f t="shared" si="103"/>
        <v>690</v>
      </c>
      <c r="R71" s="12">
        <f t="shared" si="71"/>
        <v>-11.856370674647881</v>
      </c>
      <c r="S71" s="12">
        <f t="shared" si="72"/>
        <v>-14.297388166487149</v>
      </c>
      <c r="T71" s="12">
        <f t="shared" si="73"/>
        <v>-7.8909833899356112</v>
      </c>
      <c r="U71" s="12">
        <f t="shared" si="74"/>
        <v>-13.050408675201282</v>
      </c>
      <c r="V71" s="12">
        <f t="shared" si="75"/>
        <v>-7.7727427810108347</v>
      </c>
      <c r="W71" s="12">
        <f t="shared" si="76"/>
        <v>-5.888519764180538</v>
      </c>
      <c r="X71" s="12">
        <f t="shared" si="77"/>
        <v>-6.4805979878295856</v>
      </c>
      <c r="Y71" s="12">
        <f t="shared" si="78"/>
        <v>0.79839657128404351</v>
      </c>
      <c r="Z71" s="12">
        <f t="shared" si="79"/>
        <v>-6.3266815403657066</v>
      </c>
      <c r="AA71" s="12">
        <f t="shared" si="80"/>
        <v>-6.6057408235980768</v>
      </c>
      <c r="AB71" s="12">
        <f t="shared" si="81"/>
        <v>-5.4496874240317394</v>
      </c>
      <c r="AC71" s="12">
        <f t="shared" si="82"/>
        <v>-3.4066295750370013</v>
      </c>
      <c r="AD71" s="12">
        <f t="shared" si="83"/>
        <v>-4.7504635184240778</v>
      </c>
      <c r="AE71" s="12">
        <f t="shared" si="84"/>
        <v>-2.6490179313139892</v>
      </c>
      <c r="AF71" s="12">
        <f t="shared" si="85"/>
        <v>-4.0865737315062782</v>
      </c>
      <c r="AG71" s="12">
        <f t="shared" si="86"/>
        <v>-2.8127274393136754</v>
      </c>
      <c r="AH71" s="12">
        <f t="shared" si="104"/>
        <v>23.554931577600509</v>
      </c>
      <c r="AJ71">
        <f t="shared" si="105"/>
        <v>690</v>
      </c>
      <c r="AK71" s="12">
        <f t="shared" si="87"/>
        <v>0</v>
      </c>
      <c r="AL71" s="12">
        <f t="shared" si="88"/>
        <v>0</v>
      </c>
      <c r="AM71" s="12">
        <f t="shared" si="89"/>
        <v>1.7867779495909912</v>
      </c>
      <c r="AN71" s="12">
        <f t="shared" si="90"/>
        <v>0.97616583828860259</v>
      </c>
      <c r="AO71" s="12">
        <f t="shared" si="91"/>
        <v>2.3012184509424873</v>
      </c>
      <c r="AP71" s="12">
        <f t="shared" si="92"/>
        <v>2.2004375509166048</v>
      </c>
      <c r="AQ71" s="12">
        <f t="shared" si="93"/>
        <v>3.3577353532565204</v>
      </c>
      <c r="AR71" s="12">
        <f t="shared" si="94"/>
        <v>7.8858108895159429</v>
      </c>
      <c r="AS71" s="12">
        <f t="shared" si="95"/>
        <v>1.72176253560294</v>
      </c>
      <c r="AT71" s="12">
        <f t="shared" si="96"/>
        <v>1.4161903678654182</v>
      </c>
      <c r="AU71" s="12">
        <f t="shared" si="97"/>
        <v>2.6904658406833857</v>
      </c>
      <c r="AV71" s="12">
        <f t="shared" si="98"/>
        <v>3.1757099307848975</v>
      </c>
      <c r="AW71" s="12">
        <f t="shared" si="99"/>
        <v>3.4783947142025329</v>
      </c>
      <c r="AX71" s="12">
        <f t="shared" si="100"/>
        <v>4.3972154928396101</v>
      </c>
      <c r="AY71" s="12">
        <f t="shared" si="101"/>
        <v>4.6402689197278058</v>
      </c>
      <c r="AZ71" s="12">
        <f t="shared" si="102"/>
        <v>3.8613699417438112</v>
      </c>
      <c r="BA71" s="12"/>
    </row>
    <row r="72" spans="16:53" x14ac:dyDescent="0.2">
      <c r="P72">
        <f t="shared" si="106"/>
        <v>17.5</v>
      </c>
      <c r="Q72">
        <f t="shared" si="103"/>
        <v>700</v>
      </c>
      <c r="R72" s="12">
        <f t="shared" si="71"/>
        <v>-11.856370674647881</v>
      </c>
      <c r="S72" s="12">
        <f t="shared" si="72"/>
        <v>-14.297388166487149</v>
      </c>
      <c r="T72" s="12">
        <f t="shared" si="73"/>
        <v>-8.2946825478722506</v>
      </c>
      <c r="U72" s="12">
        <f t="shared" si="74"/>
        <v>-13.260199124164719</v>
      </c>
      <c r="V72" s="12">
        <f t="shared" si="75"/>
        <v>-8.1630965893339216</v>
      </c>
      <c r="W72" s="12">
        <f t="shared" si="76"/>
        <v>-6.3066551853691051</v>
      </c>
      <c r="X72" s="12">
        <f t="shared" si="77"/>
        <v>-6.6430336407226731</v>
      </c>
      <c r="Y72" s="12">
        <f t="shared" si="78"/>
        <v>0.44618259293025364</v>
      </c>
      <c r="Z72" s="12">
        <f t="shared" si="79"/>
        <v>-6.4637397257507665</v>
      </c>
      <c r="AA72" s="12">
        <f t="shared" si="80"/>
        <v>-6.7186163882152732</v>
      </c>
      <c r="AB72" s="12">
        <f t="shared" si="81"/>
        <v>-5.6425238979363312</v>
      </c>
      <c r="AC72" s="12">
        <f t="shared" si="82"/>
        <v>-3.6785975860374061</v>
      </c>
      <c r="AD72" s="12">
        <f t="shared" si="83"/>
        <v>-4.9250894156615566</v>
      </c>
      <c r="AE72" s="12">
        <f t="shared" si="84"/>
        <v>-2.797784589734075</v>
      </c>
      <c r="AF72" s="12">
        <f t="shared" si="85"/>
        <v>-4.2194930235957901</v>
      </c>
      <c r="AG72" s="12">
        <f t="shared" si="86"/>
        <v>-2.9390323785154293</v>
      </c>
      <c r="AH72" s="12">
        <f t="shared" si="104"/>
        <v>23.554931577600509</v>
      </c>
      <c r="AJ72">
        <f t="shared" si="105"/>
        <v>700</v>
      </c>
      <c r="AK72" s="12">
        <f t="shared" si="87"/>
        <v>0</v>
      </c>
      <c r="AL72" s="12">
        <f t="shared" si="88"/>
        <v>0</v>
      </c>
      <c r="AM72" s="12">
        <f t="shared" si="89"/>
        <v>1.3649340480342043</v>
      </c>
      <c r="AN72" s="12">
        <f t="shared" si="90"/>
        <v>0.75852744757851742</v>
      </c>
      <c r="AO72" s="12">
        <f t="shared" si="91"/>
        <v>1.8994046550822363</v>
      </c>
      <c r="AP72" s="12">
        <f t="shared" si="92"/>
        <v>1.7664901183532573</v>
      </c>
      <c r="AQ72" s="12">
        <f t="shared" si="93"/>
        <v>3.2217693326102914</v>
      </c>
      <c r="AR72" s="12">
        <f t="shared" si="94"/>
        <v>7.5885645190462698</v>
      </c>
      <c r="AS72" s="12">
        <f t="shared" si="95"/>
        <v>1.5938538063326226</v>
      </c>
      <c r="AT72" s="12">
        <f t="shared" si="96"/>
        <v>1.3110059899044311</v>
      </c>
      <c r="AU72" s="12">
        <f t="shared" si="97"/>
        <v>2.5124378954444739</v>
      </c>
      <c r="AV72" s="12">
        <f t="shared" si="98"/>
        <v>2.9100503321346864</v>
      </c>
      <c r="AW72" s="12">
        <f t="shared" si="99"/>
        <v>3.3294377989316071</v>
      </c>
      <c r="AX72" s="12">
        <f t="shared" si="100"/>
        <v>4.2896951750999834</v>
      </c>
      <c r="AY72" s="12">
        <f t="shared" si="101"/>
        <v>4.5517371458111615</v>
      </c>
      <c r="AZ72" s="12">
        <f t="shared" si="102"/>
        <v>3.7692594423605024</v>
      </c>
      <c r="BA72" s="12"/>
    </row>
    <row r="73" spans="16:53" x14ac:dyDescent="0.2">
      <c r="P73">
        <f t="shared" si="106"/>
        <v>17.75</v>
      </c>
      <c r="Q73">
        <f t="shared" si="103"/>
        <v>710</v>
      </c>
      <c r="R73" s="12">
        <f t="shared" si="71"/>
        <v>-11.856370674647881</v>
      </c>
      <c r="S73" s="12">
        <f t="shared" si="72"/>
        <v>-14.297388166487149</v>
      </c>
      <c r="T73" s="12">
        <f t="shared" si="73"/>
        <v>-8.6878881036427575</v>
      </c>
      <c r="U73" s="12">
        <f t="shared" si="74"/>
        <v>-13.464317336549231</v>
      </c>
      <c r="V73" s="12">
        <f t="shared" si="75"/>
        <v>-8.5434144100542611</v>
      </c>
      <c r="W73" s="12">
        <f t="shared" si="76"/>
        <v>-6.7141379144904532</v>
      </c>
      <c r="X73" s="12">
        <f t="shared" si="77"/>
        <v>-6.8010837093286911</v>
      </c>
      <c r="Y73" s="12">
        <f t="shared" si="78"/>
        <v>0.10319045200423727</v>
      </c>
      <c r="Z73" s="12">
        <f t="shared" si="79"/>
        <v>-6.5970715841552128</v>
      </c>
      <c r="AA73" s="12">
        <f t="shared" si="80"/>
        <v>-6.8284117879983031</v>
      </c>
      <c r="AB73" s="12">
        <f t="shared" si="81"/>
        <v>-5.8302009793392289</v>
      </c>
      <c r="AC73" s="12">
        <f t="shared" si="82"/>
        <v>-3.9437987121709326</v>
      </c>
      <c r="AD73" s="12">
        <f t="shared" si="83"/>
        <v>-5.0950431493473687</v>
      </c>
      <c r="AE73" s="12">
        <f t="shared" si="84"/>
        <v>-2.9424969644636532</v>
      </c>
      <c r="AF73" s="12">
        <f t="shared" si="85"/>
        <v>-4.3487955173452475</v>
      </c>
      <c r="AG73" s="12">
        <f t="shared" si="86"/>
        <v>-3.0619366606480121</v>
      </c>
      <c r="AH73" s="12">
        <f t="shared" si="104"/>
        <v>23.554931577600509</v>
      </c>
      <c r="AJ73">
        <f t="shared" si="105"/>
        <v>710</v>
      </c>
      <c r="AK73" s="12">
        <f t="shared" si="87"/>
        <v>0</v>
      </c>
      <c r="AL73" s="12">
        <f t="shared" si="88"/>
        <v>0</v>
      </c>
      <c r="AM73" s="12">
        <f t="shared" si="89"/>
        <v>0.94321574745849213</v>
      </c>
      <c r="AN73" s="12">
        <f t="shared" si="90"/>
        <v>0.54092710079144279</v>
      </c>
      <c r="AO73" s="12">
        <f t="shared" si="91"/>
        <v>1.4977891366215197</v>
      </c>
      <c r="AP73" s="12">
        <f t="shared" si="92"/>
        <v>1.3327411215179756</v>
      </c>
      <c r="AQ73" s="12">
        <f t="shared" si="93"/>
        <v>3.0860116942337905</v>
      </c>
      <c r="AR73" s="12">
        <f t="shared" si="94"/>
        <v>7.2921265597208942</v>
      </c>
      <c r="AS73" s="12">
        <f t="shared" si="95"/>
        <v>1.4660225924634287</v>
      </c>
      <c r="AT73" s="12">
        <f t="shared" si="96"/>
        <v>1.205879143366634</v>
      </c>
      <c r="AU73" s="12">
        <f t="shared" si="97"/>
        <v>2.3345853920604571</v>
      </c>
      <c r="AV73" s="12">
        <f t="shared" si="98"/>
        <v>2.6448063533844208</v>
      </c>
      <c r="AW73" s="12">
        <f t="shared" si="99"/>
        <v>3.1807340400835264</v>
      </c>
      <c r="AX73" s="12">
        <f t="shared" si="100"/>
        <v>4.1824319920779178</v>
      </c>
      <c r="AY73" s="12">
        <f t="shared" si="101"/>
        <v>4.4635197625812832</v>
      </c>
      <c r="AZ73" s="12">
        <f t="shared" si="102"/>
        <v>3.6774522079392526</v>
      </c>
      <c r="BA73" s="12"/>
    </row>
    <row r="74" spans="16:53" x14ac:dyDescent="0.2">
      <c r="P74">
        <f t="shared" si="106"/>
        <v>18</v>
      </c>
      <c r="Q74">
        <f t="shared" si="103"/>
        <v>720</v>
      </c>
      <c r="R74" s="12">
        <f t="shared" si="71"/>
        <v>-11.856370674647881</v>
      </c>
      <c r="S74" s="12">
        <f t="shared" si="72"/>
        <v>-14.297388166487149</v>
      </c>
      <c r="T74" s="12">
        <f t="shared" si="73"/>
        <v>-9.0710039578750479</v>
      </c>
      <c r="U74" s="12">
        <f t="shared" si="74"/>
        <v>-13.66299028964338</v>
      </c>
      <c r="V74" s="12">
        <f t="shared" si="75"/>
        <v>-8.9140783684775382</v>
      </c>
      <c r="W74" s="12">
        <f t="shared" si="76"/>
        <v>-7.11136992354204</v>
      </c>
      <c r="X74" s="12">
        <f t="shared" si="77"/>
        <v>-6.95492343690103</v>
      </c>
      <c r="Y74" s="12">
        <f t="shared" si="78"/>
        <v>-0.23093734736764837</v>
      </c>
      <c r="Z74" s="12">
        <f t="shared" si="79"/>
        <v>-6.7268270440768481</v>
      </c>
      <c r="AA74" s="12">
        <f t="shared" si="80"/>
        <v>-6.9352514038642656</v>
      </c>
      <c r="AB74" s="12">
        <f t="shared" si="81"/>
        <v>-6.012922996246898</v>
      </c>
      <c r="AC74" s="12">
        <f t="shared" si="82"/>
        <v>-4.2024824022614258</v>
      </c>
      <c r="AD74" s="12">
        <f t="shared" si="83"/>
        <v>-5.2605097517046104</v>
      </c>
      <c r="AE74" s="12">
        <f t="shared" si="84"/>
        <v>-3.0833185623864394</v>
      </c>
      <c r="AF74" s="12">
        <f t="shared" si="85"/>
        <v>-4.474626853529502</v>
      </c>
      <c r="AG74" s="12">
        <f t="shared" si="86"/>
        <v>-3.1815758012496516</v>
      </c>
      <c r="AH74" s="12">
        <f t="shared" si="104"/>
        <v>23.554931577600509</v>
      </c>
      <c r="AJ74">
        <f t="shared" si="105"/>
        <v>720</v>
      </c>
      <c r="AK74" s="12">
        <f t="shared" si="87"/>
        <v>0</v>
      </c>
      <c r="AL74" s="12">
        <f t="shared" si="88"/>
        <v>0</v>
      </c>
      <c r="AM74" s="12">
        <f t="shared" si="89"/>
        <v>0.52157991769722922</v>
      </c>
      <c r="AN74" s="12">
        <f t="shared" si="90"/>
        <v>0.32335247331915934</v>
      </c>
      <c r="AO74" s="12">
        <f t="shared" si="91"/>
        <v>1.0963221727973802</v>
      </c>
      <c r="AP74" s="12">
        <f t="shared" si="92"/>
        <v>0.89913446132568997</v>
      </c>
      <c r="AQ74" s="12">
        <f t="shared" si="93"/>
        <v>2.9504431666696762</v>
      </c>
      <c r="AR74" s="12">
        <f t="shared" si="94"/>
        <v>6.9964260328899543</v>
      </c>
      <c r="AS74" s="12">
        <f t="shared" si="95"/>
        <v>1.338258892453295</v>
      </c>
      <c r="AT74" s="12">
        <f t="shared" si="96"/>
        <v>1.1008023949942076</v>
      </c>
      <c r="AU74" s="12">
        <f t="shared" si="97"/>
        <v>2.1568874064774373</v>
      </c>
      <c r="AV74" s="12">
        <f t="shared" si="98"/>
        <v>2.3799218388088494</v>
      </c>
      <c r="AW74" s="12">
        <f t="shared" si="99"/>
        <v>3.0322595440774189</v>
      </c>
      <c r="AX74" s="12">
        <f t="shared" si="100"/>
        <v>4.0754062444537533</v>
      </c>
      <c r="AY74" s="12">
        <f t="shared" si="101"/>
        <v>4.3755944367546187</v>
      </c>
      <c r="AZ74" s="12">
        <f t="shared" si="102"/>
        <v>3.5859254315434193</v>
      </c>
      <c r="BA74" s="12"/>
    </row>
    <row r="75" spans="16:53" x14ac:dyDescent="0.2">
      <c r="P75">
        <f t="shared" si="106"/>
        <v>18.25</v>
      </c>
      <c r="Q75">
        <f t="shared" si="103"/>
        <v>730</v>
      </c>
      <c r="R75" s="12">
        <f t="shared" si="71"/>
        <v>-11.856370674647881</v>
      </c>
      <c r="S75" s="12">
        <f t="shared" si="72"/>
        <v>-14.297388166487149</v>
      </c>
      <c r="T75" s="12">
        <f t="shared" si="73"/>
        <v>-9.4444135454964648</v>
      </c>
      <c r="U75" s="12">
        <f t="shared" si="74"/>
        <v>-13.856433009999336</v>
      </c>
      <c r="V75" s="12">
        <f t="shared" si="75"/>
        <v>-9.2754514335529521</v>
      </c>
      <c r="W75" s="12">
        <f t="shared" si="76"/>
        <v>-7.498733211561361</v>
      </c>
      <c r="X75" s="12">
        <f t="shared" si="77"/>
        <v>-7.1047188527096363</v>
      </c>
      <c r="Y75" s="12">
        <f t="shared" si="78"/>
        <v>-0.55654005843514032</v>
      </c>
      <c r="Z75" s="12">
        <f t="shared" si="79"/>
        <v>-6.8531480973079795</v>
      </c>
      <c r="AA75" s="12">
        <f t="shared" si="80"/>
        <v>-7.0392530087993039</v>
      </c>
      <c r="AB75" s="12">
        <f t="shared" si="81"/>
        <v>-6.1908836278739567</v>
      </c>
      <c r="AC75" s="12">
        <f t="shared" si="82"/>
        <v>-4.4548859933268723</v>
      </c>
      <c r="AD75" s="12">
        <f t="shared" si="83"/>
        <v>-5.4216646117867295</v>
      </c>
      <c r="AE75" s="12">
        <f t="shared" si="84"/>
        <v>-3.2204042148305203</v>
      </c>
      <c r="AF75" s="12">
        <f t="shared" si="85"/>
        <v>-4.5971249569662351</v>
      </c>
      <c r="AG75" s="12">
        <f t="shared" si="86"/>
        <v>-3.2980782098911163</v>
      </c>
      <c r="AH75" s="12">
        <f t="shared" si="104"/>
        <v>23.554931577600509</v>
      </c>
      <c r="AJ75">
        <f t="shared" si="105"/>
        <v>730</v>
      </c>
      <c r="AK75" s="12">
        <f t="shared" si="87"/>
        <v>0</v>
      </c>
      <c r="AL75" s="12">
        <f t="shared" si="88"/>
        <v>0</v>
      </c>
      <c r="AM75" s="12">
        <f t="shared" si="89"/>
        <v>9.9987529866114019E-2</v>
      </c>
      <c r="AN75" s="12">
        <f t="shared" si="90"/>
        <v>0.10579245073560756</v>
      </c>
      <c r="AO75" s="12">
        <f t="shared" si="91"/>
        <v>0.69495862119714369</v>
      </c>
      <c r="AP75" s="12">
        <f t="shared" si="92"/>
        <v>0.46561921147654728</v>
      </c>
      <c r="AQ75" s="12">
        <f t="shared" si="93"/>
        <v>2.8150460596104714</v>
      </c>
      <c r="AR75" s="12">
        <f t="shared" si="94"/>
        <v>6.7013975788270193</v>
      </c>
      <c r="AS75" s="12">
        <f t="shared" si="95"/>
        <v>1.210553593733583</v>
      </c>
      <c r="AT75" s="12">
        <f t="shared" si="96"/>
        <v>0.99576897430739109</v>
      </c>
      <c r="AU75" s="12">
        <f t="shared" si="97"/>
        <v>1.9793248240089312</v>
      </c>
      <c r="AV75" s="12">
        <f t="shared" si="98"/>
        <v>2.1153453179130208</v>
      </c>
      <c r="AW75" s="12">
        <f t="shared" si="99"/>
        <v>2.8839923758940804</v>
      </c>
      <c r="AX75" s="12">
        <f t="shared" si="100"/>
        <v>3.9685997665751835</v>
      </c>
      <c r="AY75" s="12">
        <f t="shared" si="101"/>
        <v>4.2879405239558936</v>
      </c>
      <c r="AZ75" s="12">
        <f t="shared" si="102"/>
        <v>3.4946580570019585</v>
      </c>
      <c r="BA75" s="12"/>
    </row>
    <row r="76" spans="16:53" x14ac:dyDescent="0.2">
      <c r="P76">
        <f t="shared" si="106"/>
        <v>18.5</v>
      </c>
      <c r="Q76">
        <f t="shared" si="103"/>
        <v>740</v>
      </c>
      <c r="R76" s="12">
        <f t="shared" si="71"/>
        <v>-11.856370674647881</v>
      </c>
      <c r="S76" s="12">
        <f t="shared" si="72"/>
        <v>-14.297388166487149</v>
      </c>
      <c r="T76" s="12">
        <f t="shared" si="73"/>
        <v>-9.531592110991431</v>
      </c>
      <c r="U76" s="12">
        <f t="shared" si="74"/>
        <v>-13.948671381938683</v>
      </c>
      <c r="V76" s="12">
        <f t="shared" si="75"/>
        <v>-9.6278786034261437</v>
      </c>
      <c r="W76" s="12">
        <f t="shared" si="76"/>
        <v>-7.8765910299122233</v>
      </c>
      <c r="X76" s="12">
        <f t="shared" si="77"/>
        <v>-7.2506273697532464</v>
      </c>
      <c r="Y76" s="12">
        <f t="shared" si="78"/>
        <v>-0.87393984079286824</v>
      </c>
      <c r="Z76" s="12">
        <f t="shared" si="79"/>
        <v>-6.9761693172537074</v>
      </c>
      <c r="AA76" s="12">
        <f t="shared" si="80"/>
        <v>-7.1405282009275917</v>
      </c>
      <c r="AB76" s="12">
        <f t="shared" si="81"/>
        <v>-6.364266589438671</v>
      </c>
      <c r="AC76" s="12">
        <f t="shared" si="82"/>
        <v>-4.7012354368632607</v>
      </c>
      <c r="AD76" s="12">
        <f t="shared" si="83"/>
        <v>-5.5786740956041392</v>
      </c>
      <c r="AE76" s="12">
        <f t="shared" si="84"/>
        <v>-3.3539006454340194</v>
      </c>
      <c r="AF76" s="12">
        <f t="shared" si="85"/>
        <v>-4.7164205408197741</v>
      </c>
      <c r="AG76" s="12">
        <f t="shared" si="86"/>
        <v>-3.4115656499144742</v>
      </c>
      <c r="AH76" s="12">
        <f t="shared" si="104"/>
        <v>23.554931577600509</v>
      </c>
      <c r="AJ76">
        <f t="shared" si="105"/>
        <v>740</v>
      </c>
      <c r="AK76" s="12">
        <f t="shared" si="87"/>
        <v>0</v>
      </c>
      <c r="AL76" s="12">
        <f t="shared" si="88"/>
        <v>0</v>
      </c>
      <c r="AM76" s="12">
        <f t="shared" si="89"/>
        <v>0</v>
      </c>
      <c r="AN76" s="12">
        <f t="shared" si="90"/>
        <v>0</v>
      </c>
      <c r="AO76" s="12">
        <f t="shared" si="91"/>
        <v>0.29365750868419893</v>
      </c>
      <c r="AP76" s="12">
        <f t="shared" si="92"/>
        <v>3.214915657957617E-2</v>
      </c>
      <c r="AQ76" s="12">
        <f t="shared" si="93"/>
        <v>2.6798041249680091</v>
      </c>
      <c r="AR76" s="12">
        <f t="shared" si="94"/>
        <v>6.4069809786448548</v>
      </c>
      <c r="AS76" s="12">
        <f t="shared" si="95"/>
        <v>1.0828983914806594</v>
      </c>
      <c r="AT76" s="12">
        <f t="shared" si="96"/>
        <v>0.89077271284170256</v>
      </c>
      <c r="AU76" s="12">
        <f t="shared" si="97"/>
        <v>1.8018801773451951</v>
      </c>
      <c r="AV76" s="12">
        <f t="shared" si="98"/>
        <v>1.851029608442081</v>
      </c>
      <c r="AW76" s="12">
        <f t="shared" si="99"/>
        <v>2.7359123878443357</v>
      </c>
      <c r="AX76" s="12">
        <f t="shared" si="100"/>
        <v>3.8619957945173526</v>
      </c>
      <c r="AY76" s="12">
        <f t="shared" si="101"/>
        <v>4.2005389257134187</v>
      </c>
      <c r="AZ76" s="12">
        <f t="shared" si="102"/>
        <v>3.4036306302063082</v>
      </c>
      <c r="BA76" s="12"/>
    </row>
    <row r="77" spans="16:53" x14ac:dyDescent="0.2">
      <c r="P77">
        <f t="shared" si="106"/>
        <v>18.75</v>
      </c>
      <c r="Q77">
        <f t="shared" si="103"/>
        <v>750</v>
      </c>
      <c r="R77" s="12">
        <f t="shared" si="71"/>
        <v>-11.856370674647881</v>
      </c>
      <c r="S77" s="12">
        <f t="shared" si="72"/>
        <v>-14.297388166487149</v>
      </c>
      <c r="T77" s="12">
        <f t="shared" si="73"/>
        <v>-9.531592110991431</v>
      </c>
      <c r="U77" s="12">
        <f t="shared" si="74"/>
        <v>-13.948671381938683</v>
      </c>
      <c r="V77" s="12">
        <f t="shared" si="75"/>
        <v>-9.8803088955398994</v>
      </c>
      <c r="W77" s="12">
        <f t="shared" si="76"/>
        <v>-7.9042471164319199</v>
      </c>
      <c r="X77" s="12">
        <f t="shared" si="77"/>
        <v>-7.3927983365391512</v>
      </c>
      <c r="Y77" s="12">
        <f t="shared" si="78"/>
        <v>-1.1834428235912977</v>
      </c>
      <c r="Z77" s="12">
        <f t="shared" si="79"/>
        <v>-7.0960183371544741</v>
      </c>
      <c r="AA77" s="12">
        <f t="shared" si="80"/>
        <v>-7.239182802962115</v>
      </c>
      <c r="AB77" s="12">
        <f t="shared" si="81"/>
        <v>-6.5332462647846192</v>
      </c>
      <c r="AC77" s="12">
        <f t="shared" si="82"/>
        <v>-4.9417459734858475</v>
      </c>
      <c r="AD77" s="12">
        <f t="shared" si="83"/>
        <v>-5.731696119004047</v>
      </c>
      <c r="AE77" s="12">
        <f t="shared" si="84"/>
        <v>-3.4839469939829892</v>
      </c>
      <c r="AF77" s="12">
        <f t="shared" si="85"/>
        <v>-4.8326375718625556</v>
      </c>
      <c r="AG77" s="12">
        <f t="shared" si="86"/>
        <v>-3.5221536629350174</v>
      </c>
      <c r="AH77" s="12">
        <f t="shared" si="104"/>
        <v>23.554931577600509</v>
      </c>
      <c r="AJ77">
        <f t="shared" si="105"/>
        <v>750</v>
      </c>
      <c r="AK77" s="12">
        <f t="shared" si="87"/>
        <v>0</v>
      </c>
      <c r="AL77" s="12">
        <f t="shared" si="88"/>
        <v>0</v>
      </c>
      <c r="AM77" s="12">
        <f t="shared" si="89"/>
        <v>0</v>
      </c>
      <c r="AN77" s="12">
        <f t="shared" si="90"/>
        <v>0</v>
      </c>
      <c r="AO77" s="12">
        <f t="shared" si="91"/>
        <v>0</v>
      </c>
      <c r="AP77" s="12">
        <f t="shared" si="92"/>
        <v>0</v>
      </c>
      <c r="AQ77" s="12">
        <f t="shared" si="93"/>
        <v>2.5447024313777584</v>
      </c>
      <c r="AR77" s="12">
        <f t="shared" si="94"/>
        <v>6.1131207210489809</v>
      </c>
      <c r="AS77" s="12">
        <f t="shared" si="95"/>
        <v>0.95528571544056984</v>
      </c>
      <c r="AT77" s="12">
        <f t="shared" si="96"/>
        <v>0.78580798942961294</v>
      </c>
      <c r="AU77" s="12">
        <f t="shared" si="97"/>
        <v>1.6245375003371838</v>
      </c>
      <c r="AV77" s="12">
        <f t="shared" si="98"/>
        <v>1.5869314557724692</v>
      </c>
      <c r="AW77" s="12">
        <f t="shared" si="99"/>
        <v>2.5880010647895388</v>
      </c>
      <c r="AX77" s="12">
        <f t="shared" si="100"/>
        <v>3.7555788467872402</v>
      </c>
      <c r="AY77" s="12">
        <f t="shared" si="101"/>
        <v>4.1133719600183758</v>
      </c>
      <c r="AZ77" s="12">
        <f t="shared" si="102"/>
        <v>3.312825164485754</v>
      </c>
      <c r="BA77" s="12"/>
    </row>
    <row r="78" spans="16:53" x14ac:dyDescent="0.2">
      <c r="P78">
        <f t="shared" si="106"/>
        <v>19</v>
      </c>
      <c r="Q78">
        <f t="shared" si="103"/>
        <v>760</v>
      </c>
      <c r="R78" s="12">
        <f t="shared" si="71"/>
        <v>-11.856370674647881</v>
      </c>
      <c r="S78" s="12">
        <f t="shared" si="72"/>
        <v>-14.297388166487149</v>
      </c>
      <c r="T78" s="12">
        <f t="shared" si="73"/>
        <v>-9.531592110991431</v>
      </c>
      <c r="U78" s="12">
        <f t="shared" si="74"/>
        <v>-13.948671381938683</v>
      </c>
      <c r="V78" s="12">
        <f t="shared" si="75"/>
        <v>-9.8803088955398994</v>
      </c>
      <c r="W78" s="12">
        <f t="shared" si="76"/>
        <v>-7.9042471164319199</v>
      </c>
      <c r="X78" s="12">
        <f t="shared" si="77"/>
        <v>-7.5313735469964795</v>
      </c>
      <c r="Y78" s="12">
        <f t="shared" si="78"/>
        <v>-1.4853400903657317</v>
      </c>
      <c r="Z78" s="12">
        <f t="shared" si="79"/>
        <v>-7.2128162917854413</v>
      </c>
      <c r="AA78" s="12">
        <f t="shared" si="80"/>
        <v>-7.3353172310430423</v>
      </c>
      <c r="AB78" s="12">
        <f t="shared" si="81"/>
        <v>-6.697988291407988</v>
      </c>
      <c r="AC78" s="12">
        <f t="shared" si="82"/>
        <v>-5.1766227601618295</v>
      </c>
      <c r="AD78" s="12">
        <f t="shared" si="83"/>
        <v>-5.8808806774504934</v>
      </c>
      <c r="AE78" s="12">
        <f t="shared" si="84"/>
        <v>-3.6106753001532232</v>
      </c>
      <c r="AF78" s="12">
        <f t="shared" si="85"/>
        <v>-4.9458937001757111</v>
      </c>
      <c r="AG78" s="12">
        <f t="shared" si="86"/>
        <v>-3.6299519612174986</v>
      </c>
      <c r="AH78" s="12">
        <f t="shared" si="104"/>
        <v>23.554931577600509</v>
      </c>
      <c r="AJ78">
        <f t="shared" si="105"/>
        <v>760</v>
      </c>
      <c r="AK78" s="12">
        <f t="shared" si="87"/>
        <v>0</v>
      </c>
      <c r="AL78" s="12">
        <f t="shared" si="88"/>
        <v>0</v>
      </c>
      <c r="AM78" s="12">
        <f t="shared" si="89"/>
        <v>0</v>
      </c>
      <c r="AN78" s="12">
        <f t="shared" si="90"/>
        <v>0</v>
      </c>
      <c r="AO78" s="12">
        <f t="shared" si="91"/>
        <v>0</v>
      </c>
      <c r="AP78" s="12">
        <f t="shared" si="92"/>
        <v>0</v>
      </c>
      <c r="AQ78" s="12">
        <f t="shared" si="93"/>
        <v>2.4097272507076637</v>
      </c>
      <c r="AR78" s="12">
        <f t="shared" si="94"/>
        <v>5.8197656092949162</v>
      </c>
      <c r="AS78" s="12">
        <f t="shared" si="95"/>
        <v>0.82770866393359599</v>
      </c>
      <c r="AT78" s="12">
        <f t="shared" si="96"/>
        <v>0.68086968086904587</v>
      </c>
      <c r="AU78" s="12">
        <f t="shared" si="97"/>
        <v>1.4472821958730273</v>
      </c>
      <c r="AV78" s="12">
        <f t="shared" si="98"/>
        <v>1.3230112050411114</v>
      </c>
      <c r="AW78" s="12">
        <f t="shared" si="99"/>
        <v>2.4402413840749007</v>
      </c>
      <c r="AX78" s="12">
        <f t="shared" si="100"/>
        <v>3.6493346163302962</v>
      </c>
      <c r="AY78" s="12">
        <f t="shared" si="101"/>
        <v>4.0264232440191225</v>
      </c>
      <c r="AZ78" s="12">
        <f t="shared" si="102"/>
        <v>3.2222250185844956</v>
      </c>
      <c r="BA78" s="12"/>
    </row>
    <row r="79" spans="16:53" x14ac:dyDescent="0.2">
      <c r="P79">
        <f t="shared" si="106"/>
        <v>19.25</v>
      </c>
      <c r="Q79">
        <f t="shared" si="103"/>
        <v>770</v>
      </c>
      <c r="R79" s="12">
        <f t="shared" si="71"/>
        <v>-11.856370674647881</v>
      </c>
      <c r="S79" s="12">
        <f t="shared" si="72"/>
        <v>-14.297388166487149</v>
      </c>
      <c r="T79" s="12">
        <f t="shared" si="73"/>
        <v>-9.531592110991431</v>
      </c>
      <c r="U79" s="12">
        <f t="shared" si="74"/>
        <v>-13.948671381938683</v>
      </c>
      <c r="V79" s="12">
        <f t="shared" si="75"/>
        <v>-9.8803088955398994</v>
      </c>
      <c r="W79" s="12">
        <f t="shared" si="76"/>
        <v>-7.9042471164319199</v>
      </c>
      <c r="X79" s="12">
        <f t="shared" si="77"/>
        <v>-7.6664877121828114</v>
      </c>
      <c r="Y79" s="12">
        <f t="shared" si="78"/>
        <v>-1.7799085921430997</v>
      </c>
      <c r="Z79" s="12">
        <f t="shared" si="79"/>
        <v>-7.3266782258460861</v>
      </c>
      <c r="AA79" s="12">
        <f t="shared" si="80"/>
        <v>-7.4290268356661695</v>
      </c>
      <c r="AB79" s="12">
        <f t="shared" si="81"/>
        <v>-6.8586501020161954</v>
      </c>
      <c r="AC79" s="12">
        <f t="shared" si="82"/>
        <v>-5.4060614538760809</v>
      </c>
      <c r="AD79" s="12">
        <f t="shared" si="83"/>
        <v>-6.0263703364407153</v>
      </c>
      <c r="AE79" s="12">
        <f t="shared" si="84"/>
        <v>-3.7342109506914705</v>
      </c>
      <c r="AF79" s="12">
        <f t="shared" si="85"/>
        <v>-5.0563006564198512</v>
      </c>
      <c r="AG79" s="12">
        <f t="shared" si="86"/>
        <v>-3.7350647907277392</v>
      </c>
      <c r="AH79" s="12">
        <f t="shared" si="104"/>
        <v>23.554931577600509</v>
      </c>
      <c r="AJ79">
        <f t="shared" si="105"/>
        <v>770</v>
      </c>
      <c r="AK79" s="12">
        <f t="shared" si="87"/>
        <v>0</v>
      </c>
      <c r="AL79" s="12">
        <f t="shared" si="88"/>
        <v>0</v>
      </c>
      <c r="AM79" s="12">
        <f t="shared" si="89"/>
        <v>0</v>
      </c>
      <c r="AN79" s="12">
        <f t="shared" si="90"/>
        <v>0</v>
      </c>
      <c r="AO79" s="12">
        <f t="shared" si="91"/>
        <v>0</v>
      </c>
      <c r="AP79" s="12">
        <f t="shared" si="92"/>
        <v>0</v>
      </c>
      <c r="AQ79" s="12">
        <f t="shared" si="93"/>
        <v>2.2748659553078086</v>
      </c>
      <c r="AR79" s="12">
        <f t="shared" si="94"/>
        <v>5.5268684042395968</v>
      </c>
      <c r="AS79" s="12">
        <f t="shared" si="95"/>
        <v>0.70016094426876585</v>
      </c>
      <c r="AT79" s="12">
        <f t="shared" si="96"/>
        <v>0.57595311739913357</v>
      </c>
      <c r="AU79" s="12">
        <f t="shared" si="97"/>
        <v>1.2701009163606933</v>
      </c>
      <c r="AV79" s="12">
        <f t="shared" si="98"/>
        <v>1.059232502767266</v>
      </c>
      <c r="AW79" s="12">
        <f t="shared" si="99"/>
        <v>2.2926176886375944</v>
      </c>
      <c r="AX79" s="12">
        <f t="shared" si="100"/>
        <v>3.5432498726537349</v>
      </c>
      <c r="AY79" s="12">
        <f t="shared" si="101"/>
        <v>3.9396775875871501</v>
      </c>
      <c r="AZ79" s="12">
        <f t="shared" si="102"/>
        <v>3.1318147859338876</v>
      </c>
      <c r="BA79" s="12"/>
    </row>
    <row r="80" spans="16:53" x14ac:dyDescent="0.2">
      <c r="P80">
        <f t="shared" si="106"/>
        <v>19.5</v>
      </c>
      <c r="Q80">
        <f t="shared" si="103"/>
        <v>780</v>
      </c>
      <c r="R80" s="12">
        <f t="shared" si="71"/>
        <v>-11.856370674647881</v>
      </c>
      <c r="S80" s="12">
        <f t="shared" si="72"/>
        <v>-14.297388166487149</v>
      </c>
      <c r="T80" s="12">
        <f t="shared" si="73"/>
        <v>-9.531592110991431</v>
      </c>
      <c r="U80" s="12">
        <f t="shared" si="74"/>
        <v>-13.948671381938683</v>
      </c>
      <c r="V80" s="12">
        <f t="shared" si="75"/>
        <v>-9.8803088955398994</v>
      </c>
      <c r="W80" s="12">
        <f t="shared" si="76"/>
        <v>-7.9042471164319199</v>
      </c>
      <c r="X80" s="12">
        <f t="shared" si="77"/>
        <v>-7.7982688970827727</v>
      </c>
      <c r="Y80" s="12">
        <f t="shared" si="78"/>
        <v>-2.0674119948473351</v>
      </c>
      <c r="Z80" s="12">
        <f t="shared" si="79"/>
        <v>-7.4377134719342806</v>
      </c>
      <c r="AA80" s="12">
        <f t="shared" si="80"/>
        <v>-7.5204022171346949</v>
      </c>
      <c r="AB80" s="12">
        <f t="shared" si="81"/>
        <v>-7.0153814263398875</v>
      </c>
      <c r="AC80" s="12">
        <f t="shared" si="82"/>
        <v>-5.6302487552201139</v>
      </c>
      <c r="AD80" s="12">
        <f t="shared" si="83"/>
        <v>-6.1683006859283562</v>
      </c>
      <c r="AE80" s="12">
        <f t="shared" si="84"/>
        <v>-3.8546730932196742</v>
      </c>
      <c r="AF80" s="12">
        <f t="shared" si="85"/>
        <v>-5.1639646194959994</v>
      </c>
      <c r="AG80" s="12">
        <f t="shared" si="86"/>
        <v>-3.8375912673850752</v>
      </c>
      <c r="AH80" s="12">
        <f t="shared" si="104"/>
        <v>23.554931577600509</v>
      </c>
      <c r="AJ80">
        <f t="shared" si="105"/>
        <v>780</v>
      </c>
      <c r="AK80" s="12">
        <f t="shared" si="87"/>
        <v>0</v>
      </c>
      <c r="AL80" s="12">
        <f t="shared" si="88"/>
        <v>0</v>
      </c>
      <c r="AM80" s="12">
        <f t="shared" si="89"/>
        <v>0</v>
      </c>
      <c r="AN80" s="12">
        <f t="shared" si="90"/>
        <v>0</v>
      </c>
      <c r="AO80" s="12">
        <f t="shared" si="91"/>
        <v>0</v>
      </c>
      <c r="AP80" s="12">
        <f t="shared" si="92"/>
        <v>0</v>
      </c>
      <c r="AQ80" s="12">
        <f t="shared" si="93"/>
        <v>2.1401069248828035</v>
      </c>
      <c r="AR80" s="12">
        <f t="shared" si="94"/>
        <v>5.2343854998374164</v>
      </c>
      <c r="AS80" s="12">
        <f t="shared" si="95"/>
        <v>0.57263681888836426</v>
      </c>
      <c r="AT80" s="12">
        <f t="shared" si="96"/>
        <v>0.47105404247160959</v>
      </c>
      <c r="AU80" s="12">
        <f t="shared" si="97"/>
        <v>1.0929814555015356</v>
      </c>
      <c r="AV80" s="12">
        <f t="shared" si="98"/>
        <v>0.79556202507224416</v>
      </c>
      <c r="AW80" s="12">
        <f t="shared" si="99"/>
        <v>2.1451155719274859</v>
      </c>
      <c r="AX80" s="12">
        <f t="shared" si="100"/>
        <v>3.4373123730174764</v>
      </c>
      <c r="AY80" s="12">
        <f t="shared" si="101"/>
        <v>3.8531208966360158</v>
      </c>
      <c r="AZ80" s="12">
        <f t="shared" si="102"/>
        <v>3.0415801940619898</v>
      </c>
      <c r="BA80" s="12"/>
    </row>
    <row r="81" spans="16:53" x14ac:dyDescent="0.2">
      <c r="P81">
        <f t="shared" si="106"/>
        <v>19.75</v>
      </c>
      <c r="Q81">
        <f t="shared" si="103"/>
        <v>790</v>
      </c>
      <c r="R81" s="12">
        <f t="shared" si="71"/>
        <v>-11.856370674647881</v>
      </c>
      <c r="S81" s="12">
        <f t="shared" si="72"/>
        <v>-14.297388166487149</v>
      </c>
      <c r="T81" s="12">
        <f t="shared" si="73"/>
        <v>-9.531592110991431</v>
      </c>
      <c r="U81" s="12">
        <f t="shared" si="74"/>
        <v>-13.948671381938683</v>
      </c>
      <c r="V81" s="12">
        <f t="shared" si="75"/>
        <v>-9.8803088955398994</v>
      </c>
      <c r="W81" s="12">
        <f t="shared" si="76"/>
        <v>-7.9042471164319199</v>
      </c>
      <c r="X81" s="12">
        <f t="shared" si="77"/>
        <v>-7.9268389254757894</v>
      </c>
      <c r="Y81" s="12">
        <f t="shared" si="78"/>
        <v>-2.3481014664533237</v>
      </c>
      <c r="Z81" s="12">
        <f t="shared" si="79"/>
        <v>-7.5460260007152318</v>
      </c>
      <c r="AA81" s="12">
        <f t="shared" si="80"/>
        <v>-7.6095295177281006</v>
      </c>
      <c r="AB81" s="12">
        <f t="shared" si="81"/>
        <v>-7.1683247565605015</v>
      </c>
      <c r="AC81" s="12">
        <f t="shared" si="82"/>
        <v>-5.8493629150783377</v>
      </c>
      <c r="AD81" s="12">
        <f t="shared" si="83"/>
        <v>-6.30680076179822</v>
      </c>
      <c r="AE81" s="12">
        <f t="shared" si="84"/>
        <v>-3.972175019532965</v>
      </c>
      <c r="AF81" s="12">
        <f t="shared" si="85"/>
        <v>-5.2689865571398355</v>
      </c>
      <c r="AG81" s="12">
        <f t="shared" si="86"/>
        <v>-3.9376256887954679</v>
      </c>
      <c r="AH81" s="12">
        <f t="shared" si="104"/>
        <v>23.554931577600509</v>
      </c>
      <c r="AJ81">
        <f t="shared" si="105"/>
        <v>790</v>
      </c>
      <c r="AK81" s="12">
        <f t="shared" si="87"/>
        <v>0</v>
      </c>
      <c r="AL81" s="12">
        <f t="shared" si="88"/>
        <v>0</v>
      </c>
      <c r="AM81" s="12">
        <f t="shared" si="89"/>
        <v>0</v>
      </c>
      <c r="AN81" s="12">
        <f t="shared" si="90"/>
        <v>0</v>
      </c>
      <c r="AO81" s="12">
        <f t="shared" si="91"/>
        <v>0</v>
      </c>
      <c r="AP81" s="12">
        <f t="shared" si="92"/>
        <v>0</v>
      </c>
      <c r="AQ81" s="12">
        <f t="shared" si="93"/>
        <v>2.0054394619961289</v>
      </c>
      <c r="AR81" s="12">
        <f t="shared" si="94"/>
        <v>4.9422766278354491</v>
      </c>
      <c r="AS81" s="12">
        <f t="shared" si="95"/>
        <v>0.4451310566411551</v>
      </c>
      <c r="AT81" s="12">
        <f t="shared" si="96"/>
        <v>0.36616857636559352</v>
      </c>
      <c r="AU81" s="12">
        <f t="shared" si="97"/>
        <v>0.91591265018907131</v>
      </c>
      <c r="AV81" s="12">
        <f t="shared" si="98"/>
        <v>0.53196922991203077</v>
      </c>
      <c r="AW81" s="12">
        <f t="shared" si="99"/>
        <v>1.9977217734323267</v>
      </c>
      <c r="AX81" s="12">
        <f t="shared" si="100"/>
        <v>3.3315107817630865</v>
      </c>
      <c r="AY81" s="12">
        <f t="shared" si="101"/>
        <v>3.7667400852011439</v>
      </c>
      <c r="AZ81" s="12">
        <f t="shared" si="102"/>
        <v>2.9515080131130529</v>
      </c>
      <c r="BA81" s="12"/>
    </row>
    <row r="82" spans="16:53" x14ac:dyDescent="0.2">
      <c r="P82">
        <f t="shared" si="106"/>
        <v>20</v>
      </c>
      <c r="Q82">
        <f t="shared" si="103"/>
        <v>800</v>
      </c>
      <c r="R82" s="12">
        <f t="shared" si="71"/>
        <v>-11.856370674647881</v>
      </c>
      <c r="S82" s="12">
        <f t="shared" si="72"/>
        <v>-14.297388166487149</v>
      </c>
      <c r="T82" s="12">
        <f t="shared" si="73"/>
        <v>-9.531592110991431</v>
      </c>
      <c r="U82" s="12">
        <f t="shared" si="74"/>
        <v>-13.948671381938683</v>
      </c>
      <c r="V82" s="12">
        <f t="shared" si="75"/>
        <v>-9.8803088955398994</v>
      </c>
      <c r="W82" s="12">
        <f t="shared" si="76"/>
        <v>-7.9042471164319199</v>
      </c>
      <c r="X82" s="12">
        <f t="shared" si="77"/>
        <v>-8.0523137555634268</v>
      </c>
      <c r="Y82" s="12">
        <f t="shared" si="78"/>
        <v>-2.6222164088288458</v>
      </c>
      <c r="Z82" s="12">
        <f t="shared" si="79"/>
        <v>-7.6517147456427423</v>
      </c>
      <c r="AA82" s="12">
        <f t="shared" si="80"/>
        <v>-7.6964906925686511</v>
      </c>
      <c r="AB82" s="12">
        <f t="shared" si="81"/>
        <v>-7.3176157793943872</v>
      </c>
      <c r="AC82" s="12">
        <f t="shared" si="82"/>
        <v>-6.0635742073016976</v>
      </c>
      <c r="AD82" s="12">
        <f t="shared" si="83"/>
        <v>-6.4419934371463841</v>
      </c>
      <c r="AE82" s="12">
        <f t="shared" si="84"/>
        <v>-4.0868245209833152</v>
      </c>
      <c r="AF82" s="12">
        <f t="shared" si="85"/>
        <v>-5.3714625417457516</v>
      </c>
      <c r="AG82" s="12">
        <f t="shared" si="86"/>
        <v>-4.0352578235261785</v>
      </c>
      <c r="AH82" s="12">
        <f t="shared" si="104"/>
        <v>23.554931577600509</v>
      </c>
      <c r="AJ82">
        <f t="shared" si="105"/>
        <v>800</v>
      </c>
      <c r="AK82" s="12">
        <f t="shared" si="87"/>
        <v>0</v>
      </c>
      <c r="AL82" s="12">
        <f t="shared" si="88"/>
        <v>0</v>
      </c>
      <c r="AM82" s="12">
        <f t="shared" si="89"/>
        <v>0</v>
      </c>
      <c r="AN82" s="12">
        <f t="shared" si="90"/>
        <v>0</v>
      </c>
      <c r="AO82" s="12">
        <f t="shared" si="91"/>
        <v>0</v>
      </c>
      <c r="AP82" s="12">
        <f t="shared" si="92"/>
        <v>0</v>
      </c>
      <c r="AQ82" s="12">
        <f t="shared" si="93"/>
        <v>1.8708537153272811</v>
      </c>
      <c r="AR82" s="12">
        <f t="shared" si="94"/>
        <v>4.6505045887776815</v>
      </c>
      <c r="AS82" s="12">
        <f t="shared" si="95"/>
        <v>0.31763888865171525</v>
      </c>
      <c r="AT82" s="12">
        <f t="shared" si="96"/>
        <v>0.26129318324536543</v>
      </c>
      <c r="AU82" s="12">
        <f t="shared" si="97"/>
        <v>0.73888429149862778</v>
      </c>
      <c r="AV82" s="12">
        <f t="shared" si="98"/>
        <v>0.2684261310114392</v>
      </c>
      <c r="AW82" s="12">
        <f t="shared" si="99"/>
        <v>1.8504240837344554</v>
      </c>
      <c r="AX82" s="12">
        <f t="shared" si="100"/>
        <v>3.2258345969558038</v>
      </c>
      <c r="AY82" s="12">
        <f t="shared" si="101"/>
        <v>3.6805229953994543</v>
      </c>
      <c r="AZ82" s="12">
        <f t="shared" si="102"/>
        <v>2.8615859725638084</v>
      </c>
      <c r="BA82" s="12"/>
    </row>
    <row r="83" spans="16:53" x14ac:dyDescent="0.2">
      <c r="P83">
        <f t="shared" si="106"/>
        <v>20.25</v>
      </c>
      <c r="Q83">
        <f t="shared" si="103"/>
        <v>810</v>
      </c>
      <c r="R83" s="12">
        <f t="shared" si="71"/>
        <v>-11.856370674647881</v>
      </c>
      <c r="S83" s="12">
        <f t="shared" si="72"/>
        <v>-14.297388166487149</v>
      </c>
      <c r="T83" s="12">
        <f t="shared" si="73"/>
        <v>-9.531592110991431</v>
      </c>
      <c r="U83" s="12">
        <f t="shared" si="74"/>
        <v>-13.948671381938683</v>
      </c>
      <c r="V83" s="12">
        <f t="shared" si="75"/>
        <v>-9.8803088955398994</v>
      </c>
      <c r="W83" s="12">
        <f t="shared" si="76"/>
        <v>-7.9042471164319199</v>
      </c>
      <c r="X83" s="12">
        <f t="shared" si="77"/>
        <v>-8.1748038287908233</v>
      </c>
      <c r="Y83" s="12">
        <f t="shared" si="78"/>
        <v>-2.8899851387464905</v>
      </c>
      <c r="Z83" s="12">
        <f t="shared" si="79"/>
        <v>-7.7548739043645396</v>
      </c>
      <c r="AA83" s="12">
        <f t="shared" si="80"/>
        <v>-7.7813637609758013</v>
      </c>
      <c r="AB83" s="12">
        <f t="shared" si="81"/>
        <v>-7.4633837775875014</v>
      </c>
      <c r="AC83" s="12">
        <f t="shared" si="82"/>
        <v>-6.2730453700029605</v>
      </c>
      <c r="AD83" s="12">
        <f t="shared" si="83"/>
        <v>-6.5739957858596156</v>
      </c>
      <c r="AE83" s="12">
        <f t="shared" si="84"/>
        <v>-4.1987242182921687</v>
      </c>
      <c r="AF83" s="12">
        <f t="shared" si="85"/>
        <v>-5.4714840434972807</v>
      </c>
      <c r="AG83" s="12">
        <f t="shared" si="86"/>
        <v>-4.1305731797872767</v>
      </c>
      <c r="AH83" s="12">
        <f t="shared" si="104"/>
        <v>23.554931577600509</v>
      </c>
      <c r="AJ83">
        <f t="shared" si="105"/>
        <v>810</v>
      </c>
      <c r="AK83" s="12">
        <f t="shared" si="87"/>
        <v>0</v>
      </c>
      <c r="AL83" s="12">
        <f t="shared" si="88"/>
        <v>0</v>
      </c>
      <c r="AM83" s="12">
        <f t="shared" si="89"/>
        <v>0</v>
      </c>
      <c r="AN83" s="12">
        <f t="shared" si="90"/>
        <v>0</v>
      </c>
      <c r="AO83" s="12">
        <f t="shared" si="91"/>
        <v>0</v>
      </c>
      <c r="AP83" s="12">
        <f t="shared" si="92"/>
        <v>0</v>
      </c>
      <c r="AQ83" s="12">
        <f t="shared" si="93"/>
        <v>1.7363406099004532</v>
      </c>
      <c r="AR83" s="12">
        <f t="shared" si="94"/>
        <v>4.3590350067412516</v>
      </c>
      <c r="AS83" s="12">
        <f t="shared" si="95"/>
        <v>0.19015596831356235</v>
      </c>
      <c r="AT83" s="12">
        <f t="shared" si="96"/>
        <v>0.15642464130618239</v>
      </c>
      <c r="AU83" s="12">
        <f t="shared" si="97"/>
        <v>0.56188704384859811</v>
      </c>
      <c r="AV83" s="12">
        <f t="shared" si="98"/>
        <v>4.9070914307227315E-3</v>
      </c>
      <c r="AW83" s="12">
        <f t="shared" si="99"/>
        <v>1.7032112581446353</v>
      </c>
      <c r="AX83" s="12">
        <f t="shared" si="100"/>
        <v>3.1202740836064367</v>
      </c>
      <c r="AY83" s="12">
        <f t="shared" si="101"/>
        <v>3.5944583244851587</v>
      </c>
      <c r="AZ83" s="12">
        <f t="shared" si="102"/>
        <v>2.771802685323963</v>
      </c>
      <c r="BA83" s="12"/>
    </row>
    <row r="84" spans="16:53" x14ac:dyDescent="0.2">
      <c r="P84">
        <f t="shared" si="106"/>
        <v>20.5</v>
      </c>
      <c r="Q84">
        <f t="shared" si="103"/>
        <v>820</v>
      </c>
      <c r="R84" s="12">
        <f t="shared" si="71"/>
        <v>-11.856370674647881</v>
      </c>
      <c r="S84" s="12">
        <f t="shared" si="72"/>
        <v>-14.297388166487149</v>
      </c>
      <c r="T84" s="12">
        <f t="shared" si="73"/>
        <v>-9.531592110991431</v>
      </c>
      <c r="U84" s="12">
        <f t="shared" si="74"/>
        <v>-13.948671381938683</v>
      </c>
      <c r="V84" s="12">
        <f t="shared" si="75"/>
        <v>-9.8803088955398994</v>
      </c>
      <c r="W84" s="12">
        <f t="shared" si="76"/>
        <v>-7.9042471164319199</v>
      </c>
      <c r="X84" s="12">
        <f t="shared" si="77"/>
        <v>-8.2944143940677453</v>
      </c>
      <c r="Y84" s="12">
        <f t="shared" si="78"/>
        <v>-3.1516255221371714</v>
      </c>
      <c r="Z84" s="12">
        <f t="shared" si="79"/>
        <v>-7.8555932187417641</v>
      </c>
      <c r="AA84" s="12">
        <f t="shared" si="80"/>
        <v>-7.8642230399288957</v>
      </c>
      <c r="AB84" s="12">
        <f t="shared" si="81"/>
        <v>-7.6057520033177051</v>
      </c>
      <c r="AC84" s="12">
        <f t="shared" si="82"/>
        <v>-6.2769021218724061</v>
      </c>
      <c r="AD84" s="12">
        <f t="shared" si="83"/>
        <v>-6.7029194207552898</v>
      </c>
      <c r="AE84" s="12">
        <f t="shared" si="84"/>
        <v>-4.3079718679131744</v>
      </c>
      <c r="AF84" s="12">
        <f t="shared" si="85"/>
        <v>-5.5691382026837797</v>
      </c>
      <c r="AG84" s="12">
        <f t="shared" si="86"/>
        <v>-4.2236532552102446</v>
      </c>
      <c r="AH84" s="12">
        <f t="shared" si="104"/>
        <v>23.554931577600509</v>
      </c>
      <c r="AJ84">
        <f t="shared" si="105"/>
        <v>820</v>
      </c>
      <c r="AK84" s="12">
        <f t="shared" si="87"/>
        <v>0</v>
      </c>
      <c r="AL84" s="12">
        <f t="shared" si="88"/>
        <v>0</v>
      </c>
      <c r="AM84" s="12">
        <f t="shared" si="89"/>
        <v>0</v>
      </c>
      <c r="AN84" s="12">
        <f t="shared" si="90"/>
        <v>0</v>
      </c>
      <c r="AO84" s="12">
        <f t="shared" si="91"/>
        <v>0</v>
      </c>
      <c r="AP84" s="12">
        <f t="shared" si="92"/>
        <v>0</v>
      </c>
      <c r="AQ84" s="12">
        <f t="shared" si="93"/>
        <v>1.6018917835896052</v>
      </c>
      <c r="AR84" s="12">
        <f t="shared" si="94"/>
        <v>4.0678361055038694</v>
      </c>
      <c r="AS84" s="12">
        <f t="shared" si="95"/>
        <v>6.2678334986561293E-2</v>
      </c>
      <c r="AT84" s="12">
        <f t="shared" si="96"/>
        <v>5.1560015692999249E-2</v>
      </c>
      <c r="AU84" s="12">
        <f t="shared" si="97"/>
        <v>0.38491237151538871</v>
      </c>
      <c r="AV84" s="12">
        <f t="shared" si="98"/>
        <v>0</v>
      </c>
      <c r="AW84" s="12">
        <f t="shared" si="99"/>
        <v>1.556072938063209</v>
      </c>
      <c r="AX84" s="12">
        <f t="shared" si="100"/>
        <v>3.0148202128206729</v>
      </c>
      <c r="AY84" s="12">
        <f t="shared" si="101"/>
        <v>3.508535558303806</v>
      </c>
      <c r="AZ84" s="12">
        <f t="shared" si="102"/>
        <v>2.6821475784967812</v>
      </c>
      <c r="BA84" s="12"/>
    </row>
    <row r="85" spans="16:53" x14ac:dyDescent="0.2">
      <c r="P85">
        <f t="shared" si="106"/>
        <v>20.75</v>
      </c>
      <c r="Q85">
        <f t="shared" si="103"/>
        <v>830</v>
      </c>
      <c r="R85" s="12">
        <f t="shared" si="71"/>
        <v>-11.856370674647881</v>
      </c>
      <c r="S85" s="12">
        <f t="shared" si="72"/>
        <v>-14.297388166487149</v>
      </c>
      <c r="T85" s="12">
        <f t="shared" si="73"/>
        <v>-9.531592110991431</v>
      </c>
      <c r="U85" s="12">
        <f t="shared" si="74"/>
        <v>-13.948671381938683</v>
      </c>
      <c r="V85" s="12">
        <f t="shared" si="75"/>
        <v>-9.8803088955398994</v>
      </c>
      <c r="W85" s="12">
        <f t="shared" si="76"/>
        <v>-7.9042471164319199</v>
      </c>
      <c r="X85" s="12">
        <f t="shared" si="77"/>
        <v>-8.4112458093898077</v>
      </c>
      <c r="Y85" s="12">
        <f t="shared" si="78"/>
        <v>-3.4073455652884177</v>
      </c>
      <c r="Z85" s="12">
        <f t="shared" si="79"/>
        <v>-7.9042471164319199</v>
      </c>
      <c r="AA85" s="12">
        <f t="shared" si="80"/>
        <v>-7.9042471164319199</v>
      </c>
      <c r="AB85" s="12">
        <f t="shared" si="81"/>
        <v>-7.7448380257714495</v>
      </c>
      <c r="AC85" s="12">
        <f t="shared" si="82"/>
        <v>-6.2769021218724061</v>
      </c>
      <c r="AD85" s="12">
        <f t="shared" si="83"/>
        <v>-6.8288708083345604</v>
      </c>
      <c r="AE85" s="12">
        <f t="shared" si="84"/>
        <v>-4.414660646867425</v>
      </c>
      <c r="AF85" s="12">
        <f t="shared" si="85"/>
        <v>-5.6645080829074157</v>
      </c>
      <c r="AG85" s="12">
        <f t="shared" si="86"/>
        <v>-4.3145757692572548</v>
      </c>
      <c r="AH85" s="12">
        <f t="shared" si="104"/>
        <v>23.554931577600509</v>
      </c>
      <c r="AJ85">
        <f t="shared" si="105"/>
        <v>830</v>
      </c>
      <c r="AK85" s="12">
        <f t="shared" si="87"/>
        <v>0</v>
      </c>
      <c r="AL85" s="12">
        <f t="shared" si="88"/>
        <v>0</v>
      </c>
      <c r="AM85" s="12">
        <f t="shared" si="89"/>
        <v>0</v>
      </c>
      <c r="AN85" s="12">
        <f t="shared" si="90"/>
        <v>0</v>
      </c>
      <c r="AO85" s="12">
        <f t="shared" si="91"/>
        <v>0</v>
      </c>
      <c r="AP85" s="12">
        <f t="shared" si="92"/>
        <v>0</v>
      </c>
      <c r="AQ85" s="12">
        <f t="shared" si="93"/>
        <v>1.4674995292805384</v>
      </c>
      <c r="AR85" s="12">
        <f t="shared" si="94"/>
        <v>3.7768785040856225</v>
      </c>
      <c r="AS85" s="12">
        <f t="shared" si="95"/>
        <v>0</v>
      </c>
      <c r="AT85" s="12">
        <f t="shared" si="96"/>
        <v>0</v>
      </c>
      <c r="AU85" s="12">
        <f t="shared" si="97"/>
        <v>0.20795247177328921</v>
      </c>
      <c r="AV85" s="12">
        <f t="shared" si="98"/>
        <v>0</v>
      </c>
      <c r="AW85" s="12">
        <f t="shared" si="99"/>
        <v>1.4089995793106764</v>
      </c>
      <c r="AX85" s="12">
        <f t="shared" si="100"/>
        <v>2.9094646062942875</v>
      </c>
      <c r="AY85" s="12">
        <f t="shared" si="101"/>
        <v>3.4227449105221281</v>
      </c>
      <c r="AZ85" s="12">
        <f t="shared" si="102"/>
        <v>2.5926108301535407</v>
      </c>
      <c r="BA85" s="12"/>
    </row>
    <row r="86" spans="16:53" x14ac:dyDescent="0.2">
      <c r="P86">
        <f t="shared" si="106"/>
        <v>21</v>
      </c>
      <c r="Q86">
        <f t="shared" si="103"/>
        <v>840</v>
      </c>
      <c r="R86" s="12">
        <f t="shared" si="71"/>
        <v>-11.856370674647881</v>
      </c>
      <c r="S86" s="12">
        <f t="shared" si="72"/>
        <v>-14.297388166487149</v>
      </c>
      <c r="T86" s="12">
        <f t="shared" si="73"/>
        <v>-9.531592110991431</v>
      </c>
      <c r="U86" s="12">
        <f t="shared" si="74"/>
        <v>-13.948671381938683</v>
      </c>
      <c r="V86" s="12">
        <f t="shared" si="75"/>
        <v>-9.8803088955398994</v>
      </c>
      <c r="W86" s="12">
        <f t="shared" si="76"/>
        <v>-7.9042471164319199</v>
      </c>
      <c r="X86" s="12">
        <f t="shared" si="77"/>
        <v>-8.5253938226766675</v>
      </c>
      <c r="Y86" s="12">
        <f t="shared" si="78"/>
        <v>-3.6573439663591301</v>
      </c>
      <c r="Z86" s="12">
        <f t="shared" si="79"/>
        <v>-7.9042471164319199</v>
      </c>
      <c r="AA86" s="12">
        <f t="shared" si="80"/>
        <v>-7.9042471164319199</v>
      </c>
      <c r="AB86" s="12">
        <f t="shared" si="81"/>
        <v>-7.8807540549549717</v>
      </c>
      <c r="AC86" s="12">
        <f t="shared" si="82"/>
        <v>-6.2769021218724061</v>
      </c>
      <c r="AD86" s="12">
        <f t="shared" si="83"/>
        <v>-6.9519515620143357</v>
      </c>
      <c r="AE86" s="12">
        <f t="shared" si="84"/>
        <v>-4.5188794177955813</v>
      </c>
      <c r="AF86" s="12">
        <f t="shared" si="85"/>
        <v>-5.7576729067268886</v>
      </c>
      <c r="AG86" s="12">
        <f t="shared" si="86"/>
        <v>-4.4034148796541466</v>
      </c>
      <c r="AH86" s="12">
        <f t="shared" si="104"/>
        <v>23.554931577600509</v>
      </c>
      <c r="AJ86">
        <f t="shared" si="105"/>
        <v>840</v>
      </c>
      <c r="AK86" s="12">
        <f t="shared" si="87"/>
        <v>0</v>
      </c>
      <c r="AL86" s="12">
        <f t="shared" si="88"/>
        <v>0</v>
      </c>
      <c r="AM86" s="12">
        <f t="shared" si="89"/>
        <v>0</v>
      </c>
      <c r="AN86" s="12">
        <f t="shared" si="90"/>
        <v>0</v>
      </c>
      <c r="AO86" s="12">
        <f t="shared" si="91"/>
        <v>0</v>
      </c>
      <c r="AP86" s="12">
        <f t="shared" si="92"/>
        <v>0</v>
      </c>
      <c r="AQ86" s="12">
        <f t="shared" si="93"/>
        <v>1.3331567421373731</v>
      </c>
      <c r="AR86" s="12">
        <f t="shared" si="94"/>
        <v>3.4861350298242462</v>
      </c>
      <c r="AS86" s="12">
        <f t="shared" si="95"/>
        <v>0</v>
      </c>
      <c r="AT86" s="12">
        <f t="shared" si="96"/>
        <v>0</v>
      </c>
      <c r="AU86" s="12">
        <f t="shared" si="97"/>
        <v>3.1000214009154842E-2</v>
      </c>
      <c r="AV86" s="12">
        <f t="shared" si="98"/>
        <v>0</v>
      </c>
      <c r="AW86" s="12">
        <f t="shared" si="99"/>
        <v>1.2619823867510571</v>
      </c>
      <c r="AX86" s="12">
        <f t="shared" si="100"/>
        <v>2.8041994856354027</v>
      </c>
      <c r="AY86" s="12">
        <f t="shared" si="101"/>
        <v>3.3370772670778202</v>
      </c>
      <c r="AZ86" s="12">
        <f t="shared" si="102"/>
        <v>2.5031833115444839</v>
      </c>
      <c r="BA86" s="12"/>
    </row>
    <row r="87" spans="16:53" x14ac:dyDescent="0.2">
      <c r="P87">
        <f t="shared" si="106"/>
        <v>21.25</v>
      </c>
      <c r="Q87">
        <f t="shared" si="103"/>
        <v>850</v>
      </c>
      <c r="R87" s="12">
        <f t="shared" si="71"/>
        <v>-11.856370674647881</v>
      </c>
      <c r="S87" s="12">
        <f t="shared" si="72"/>
        <v>-14.297388166487149</v>
      </c>
      <c r="T87" s="12">
        <f t="shared" si="73"/>
        <v>-9.531592110991431</v>
      </c>
      <c r="U87" s="12">
        <f t="shared" si="74"/>
        <v>-13.948671381938683</v>
      </c>
      <c r="V87" s="12">
        <f t="shared" si="75"/>
        <v>-9.8803088955398994</v>
      </c>
      <c r="W87" s="12">
        <f t="shared" si="76"/>
        <v>-7.9042471164319199</v>
      </c>
      <c r="X87" s="12">
        <f t="shared" si="77"/>
        <v>-8.6369498334789032</v>
      </c>
      <c r="Y87" s="12">
        <f t="shared" si="78"/>
        <v>-3.9018106302840754</v>
      </c>
      <c r="Z87" s="12">
        <f t="shared" si="79"/>
        <v>-7.9042471164319199</v>
      </c>
      <c r="AA87" s="12">
        <f t="shared" si="80"/>
        <v>-7.9042471164319199</v>
      </c>
      <c r="AB87" s="12">
        <f t="shared" si="81"/>
        <v>-7.9042471164319199</v>
      </c>
      <c r="AC87" s="12">
        <f t="shared" si="82"/>
        <v>-6.2769021218724061</v>
      </c>
      <c r="AD87" s="12">
        <f t="shared" si="83"/>
        <v>-7.0722587155354848</v>
      </c>
      <c r="AE87" s="12">
        <f t="shared" si="84"/>
        <v>-4.620712975811581</v>
      </c>
      <c r="AF87" s="12">
        <f t="shared" si="85"/>
        <v>-5.8487082751429096</v>
      </c>
      <c r="AG87" s="12">
        <f t="shared" si="86"/>
        <v>-4.490241384113836</v>
      </c>
      <c r="AH87" s="12">
        <f t="shared" si="104"/>
        <v>23.554931577600509</v>
      </c>
      <c r="AJ87">
        <f t="shared" si="105"/>
        <v>850</v>
      </c>
      <c r="AK87" s="12">
        <f t="shared" si="87"/>
        <v>0</v>
      </c>
      <c r="AL87" s="12">
        <f t="shared" si="88"/>
        <v>0</v>
      </c>
      <c r="AM87" s="12">
        <f t="shared" si="89"/>
        <v>0</v>
      </c>
      <c r="AN87" s="12">
        <f t="shared" si="90"/>
        <v>0</v>
      </c>
      <c r="AO87" s="12">
        <f t="shared" si="91"/>
        <v>0</v>
      </c>
      <c r="AP87" s="12">
        <f t="shared" si="92"/>
        <v>0</v>
      </c>
      <c r="AQ87" s="12">
        <f t="shared" si="93"/>
        <v>1.1988568714798216</v>
      </c>
      <c r="AR87" s="12">
        <f t="shared" si="94"/>
        <v>3.1955805473342584</v>
      </c>
      <c r="AS87" s="12">
        <f t="shared" si="95"/>
        <v>0</v>
      </c>
      <c r="AT87" s="12">
        <f t="shared" si="96"/>
        <v>0</v>
      </c>
      <c r="AU87" s="12">
        <f t="shared" si="97"/>
        <v>0</v>
      </c>
      <c r="AV87" s="12">
        <f t="shared" si="98"/>
        <v>0</v>
      </c>
      <c r="AW87" s="12">
        <f t="shared" si="99"/>
        <v>1.1150132546031271</v>
      </c>
      <c r="AX87" s="12">
        <f t="shared" si="100"/>
        <v>2.6990176260501393</v>
      </c>
      <c r="AY87" s="12">
        <f t="shared" si="101"/>
        <v>3.2515241353522226</v>
      </c>
      <c r="AZ87" s="12">
        <f t="shared" si="102"/>
        <v>2.4138565342297733</v>
      </c>
      <c r="BA87" s="12"/>
    </row>
    <row r="88" spans="16:53" x14ac:dyDescent="0.2">
      <c r="P88">
        <f t="shared" si="106"/>
        <v>21.5</v>
      </c>
      <c r="Q88">
        <f t="shared" si="103"/>
        <v>860</v>
      </c>
      <c r="R88" s="12">
        <f t="shared" si="71"/>
        <v>-11.856370674647881</v>
      </c>
      <c r="S88" s="12">
        <f t="shared" si="72"/>
        <v>-14.297388166487149</v>
      </c>
      <c r="T88" s="12">
        <f t="shared" si="73"/>
        <v>-9.531592110991431</v>
      </c>
      <c r="U88" s="12">
        <f t="shared" si="74"/>
        <v>-13.948671381938683</v>
      </c>
      <c r="V88" s="12">
        <f t="shared" si="75"/>
        <v>-9.8803088955398994</v>
      </c>
      <c r="W88" s="12">
        <f t="shared" si="76"/>
        <v>-7.9042471164319199</v>
      </c>
      <c r="X88" s="12">
        <f t="shared" si="77"/>
        <v>-8.7460011370570037</v>
      </c>
      <c r="Y88" s="12">
        <f t="shared" si="78"/>
        <v>-4.1409271498723932</v>
      </c>
      <c r="Z88" s="12">
        <f t="shared" si="79"/>
        <v>-7.9042471164319199</v>
      </c>
      <c r="AA88" s="12">
        <f t="shared" si="80"/>
        <v>-7.9042471164319199</v>
      </c>
      <c r="AB88" s="12">
        <f t="shared" si="81"/>
        <v>-7.9042471164319199</v>
      </c>
      <c r="AC88" s="12">
        <f t="shared" si="82"/>
        <v>-6.2769021218724061</v>
      </c>
      <c r="AD88" s="12">
        <f t="shared" si="83"/>
        <v>-7.1898849780933878</v>
      </c>
      <c r="AE88" s="12">
        <f t="shared" si="84"/>
        <v>-4.7202422785991818</v>
      </c>
      <c r="AF88" s="12">
        <f t="shared" si="85"/>
        <v>-5.93768637220351</v>
      </c>
      <c r="AG88" s="12">
        <f t="shared" si="86"/>
        <v>-4.5751229085034666</v>
      </c>
      <c r="AH88" s="12">
        <f t="shared" si="104"/>
        <v>23.554931577600509</v>
      </c>
      <c r="AJ88">
        <f t="shared" si="105"/>
        <v>860</v>
      </c>
      <c r="AK88" s="12">
        <f t="shared" si="87"/>
        <v>0</v>
      </c>
      <c r="AL88" s="12">
        <f t="shared" si="88"/>
        <v>0</v>
      </c>
      <c r="AM88" s="12">
        <f t="shared" si="89"/>
        <v>0</v>
      </c>
      <c r="AN88" s="12">
        <f t="shared" si="90"/>
        <v>0</v>
      </c>
      <c r="AO88" s="12">
        <f t="shared" si="91"/>
        <v>0</v>
      </c>
      <c r="AP88" s="12">
        <f t="shared" si="92"/>
        <v>0</v>
      </c>
      <c r="AQ88" s="12">
        <f t="shared" si="93"/>
        <v>1.0645938768298109</v>
      </c>
      <c r="AR88" s="12">
        <f t="shared" si="94"/>
        <v>2.9051918018699601</v>
      </c>
      <c r="AS88" s="12">
        <f t="shared" si="95"/>
        <v>0</v>
      </c>
      <c r="AT88" s="12">
        <f t="shared" si="96"/>
        <v>0</v>
      </c>
      <c r="AU88" s="12">
        <f t="shared" si="97"/>
        <v>0</v>
      </c>
      <c r="AV88" s="12">
        <f t="shared" si="98"/>
        <v>0</v>
      </c>
      <c r="AW88" s="12">
        <f t="shared" si="99"/>
        <v>0.96808471189810785</v>
      </c>
      <c r="AX88" s="12">
        <f t="shared" si="100"/>
        <v>2.5939123139768974</v>
      </c>
      <c r="AY88" s="12">
        <f t="shared" si="101"/>
        <v>3.1660775976208551</v>
      </c>
      <c r="AZ88" s="12">
        <f t="shared" si="102"/>
        <v>2.3246226016677278</v>
      </c>
      <c r="BA88" s="12"/>
    </row>
    <row r="89" spans="16:53" x14ac:dyDescent="0.2">
      <c r="P89">
        <f t="shared" si="106"/>
        <v>21.75</v>
      </c>
      <c r="Q89">
        <f t="shared" si="103"/>
        <v>870</v>
      </c>
      <c r="R89" s="12">
        <f t="shared" si="71"/>
        <v>-11.856370674647881</v>
      </c>
      <c r="S89" s="12">
        <f t="shared" si="72"/>
        <v>-14.297388166487149</v>
      </c>
      <c r="T89" s="12">
        <f t="shared" si="73"/>
        <v>-9.531592110991431</v>
      </c>
      <c r="U89" s="12">
        <f t="shared" si="74"/>
        <v>-13.948671381938683</v>
      </c>
      <c r="V89" s="12">
        <f t="shared" si="75"/>
        <v>-9.8803088955398994</v>
      </c>
      <c r="W89" s="12">
        <f t="shared" si="76"/>
        <v>-7.9042471164319199</v>
      </c>
      <c r="X89" s="12">
        <f t="shared" si="77"/>
        <v>-8.852631152202358</v>
      </c>
      <c r="Y89" s="12">
        <f t="shared" si="78"/>
        <v>-4.3748672556615205</v>
      </c>
      <c r="Z89" s="12">
        <f t="shared" si="79"/>
        <v>-7.9042471164319199</v>
      </c>
      <c r="AA89" s="12">
        <f t="shared" si="80"/>
        <v>-7.9042471164319199</v>
      </c>
      <c r="AB89" s="12">
        <f t="shared" si="81"/>
        <v>-7.9042471164319199</v>
      </c>
      <c r="AC89" s="12">
        <f t="shared" si="82"/>
        <v>-6.2769021218724061</v>
      </c>
      <c r="AD89" s="12">
        <f t="shared" si="83"/>
        <v>-7.3049189726006514</v>
      </c>
      <c r="AE89" s="12">
        <f t="shared" si="84"/>
        <v>-4.8175446610635948</v>
      </c>
      <c r="AF89" s="12">
        <f t="shared" si="85"/>
        <v>-6.024676155892946</v>
      </c>
      <c r="AG89" s="12">
        <f t="shared" si="86"/>
        <v>-4.658124082506351</v>
      </c>
      <c r="AH89" s="12">
        <f t="shared" si="104"/>
        <v>23.554931577600509</v>
      </c>
      <c r="AJ89">
        <f t="shared" si="105"/>
        <v>870</v>
      </c>
      <c r="AK89" s="12">
        <f t="shared" si="87"/>
        <v>0</v>
      </c>
      <c r="AL89" s="12">
        <f t="shared" si="88"/>
        <v>0</v>
      </c>
      <c r="AM89" s="12">
        <f t="shared" si="89"/>
        <v>0</v>
      </c>
      <c r="AN89" s="12">
        <f t="shared" si="90"/>
        <v>0</v>
      </c>
      <c r="AO89" s="12">
        <f t="shared" si="91"/>
        <v>0</v>
      </c>
      <c r="AP89" s="12">
        <f t="shared" si="92"/>
        <v>0</v>
      </c>
      <c r="AQ89" s="12">
        <f t="shared" si="93"/>
        <v>0.93036218773210244</v>
      </c>
      <c r="AR89" s="12">
        <f t="shared" si="94"/>
        <v>2.6149472757630625</v>
      </c>
      <c r="AS89" s="12">
        <f t="shared" si="95"/>
        <v>0</v>
      </c>
      <c r="AT89" s="12">
        <f t="shared" si="96"/>
        <v>0</v>
      </c>
      <c r="AU89" s="12">
        <f t="shared" si="97"/>
        <v>0</v>
      </c>
      <c r="AV89" s="12">
        <f t="shared" si="98"/>
        <v>0</v>
      </c>
      <c r="AW89" s="12">
        <f t="shared" si="99"/>
        <v>0.82118987259864906</v>
      </c>
      <c r="AX89" s="12">
        <f t="shared" si="100"/>
        <v>2.4888773082977451</v>
      </c>
      <c r="AY89" s="12">
        <f t="shared" si="101"/>
        <v>3.0807302683829141</v>
      </c>
      <c r="AZ89" s="12">
        <f t="shared" si="102"/>
        <v>2.2354741648454293</v>
      </c>
      <c r="BA89" s="12"/>
    </row>
    <row r="90" spans="16:53" x14ac:dyDescent="0.2">
      <c r="P90">
        <f t="shared" si="106"/>
        <v>22</v>
      </c>
      <c r="Q90">
        <f t="shared" si="103"/>
        <v>880</v>
      </c>
      <c r="R90" s="12">
        <f t="shared" si="71"/>
        <v>-11.856370674647881</v>
      </c>
      <c r="S90" s="12">
        <f t="shared" si="72"/>
        <v>-14.297388166487149</v>
      </c>
      <c r="T90" s="12">
        <f t="shared" si="73"/>
        <v>-9.531592110991431</v>
      </c>
      <c r="U90" s="12">
        <f t="shared" si="74"/>
        <v>-13.948671381938683</v>
      </c>
      <c r="V90" s="12">
        <f t="shared" si="75"/>
        <v>-9.8803088955398994</v>
      </c>
      <c r="W90" s="12">
        <f t="shared" si="76"/>
        <v>-7.9042471164319199</v>
      </c>
      <c r="X90" s="12">
        <f t="shared" si="77"/>
        <v>-8.9569196340497861</v>
      </c>
      <c r="Y90" s="12">
        <f t="shared" si="78"/>
        <v>-4.6037972368685285</v>
      </c>
      <c r="Z90" s="12">
        <f t="shared" si="79"/>
        <v>-7.9042471164319199</v>
      </c>
      <c r="AA90" s="12">
        <f t="shared" si="80"/>
        <v>-7.9042471164319199</v>
      </c>
      <c r="AB90" s="12">
        <f t="shared" si="81"/>
        <v>-7.9042471164319199</v>
      </c>
      <c r="AC90" s="12">
        <f t="shared" si="82"/>
        <v>-6.2769021218724061</v>
      </c>
      <c r="AD90" s="12">
        <f t="shared" si="83"/>
        <v>-7.4174454583688849</v>
      </c>
      <c r="AE90" s="12">
        <f t="shared" si="84"/>
        <v>-4.9126940357343543</v>
      </c>
      <c r="AF90" s="12">
        <f t="shared" si="85"/>
        <v>-6.1097435363651371</v>
      </c>
      <c r="AG90" s="12">
        <f t="shared" si="86"/>
        <v>-4.7393067037376744</v>
      </c>
      <c r="AH90" s="12">
        <f t="shared" si="104"/>
        <v>23.554931577600509</v>
      </c>
      <c r="AJ90">
        <f t="shared" si="105"/>
        <v>880</v>
      </c>
      <c r="AK90" s="12">
        <f t="shared" si="87"/>
        <v>0</v>
      </c>
      <c r="AL90" s="12">
        <f t="shared" si="88"/>
        <v>0</v>
      </c>
      <c r="AM90" s="12">
        <f t="shared" si="89"/>
        <v>0</v>
      </c>
      <c r="AN90" s="12">
        <f t="shared" si="90"/>
        <v>0</v>
      </c>
      <c r="AO90" s="12">
        <f t="shared" si="91"/>
        <v>0</v>
      </c>
      <c r="AP90" s="12">
        <f t="shared" si="92"/>
        <v>0</v>
      </c>
      <c r="AQ90" s="12">
        <f t="shared" si="93"/>
        <v>0.79615666699453991</v>
      </c>
      <c r="AR90" s="12">
        <f t="shared" si="94"/>
        <v>2.3248270567397107</v>
      </c>
      <c r="AS90" s="12">
        <f t="shared" si="95"/>
        <v>0</v>
      </c>
      <c r="AT90" s="12">
        <f t="shared" si="96"/>
        <v>0</v>
      </c>
      <c r="AU90" s="12">
        <f t="shared" si="97"/>
        <v>0</v>
      </c>
      <c r="AV90" s="12">
        <f t="shared" si="98"/>
        <v>0</v>
      </c>
      <c r="AW90" s="12">
        <f t="shared" si="99"/>
        <v>0.67432238994385874</v>
      </c>
      <c r="AX90" s="12">
        <f t="shared" si="100"/>
        <v>2.3839068047937007</v>
      </c>
      <c r="AY90" s="12">
        <f t="shared" si="101"/>
        <v>2.9954752552116917</v>
      </c>
      <c r="AZ90" s="12">
        <f t="shared" si="102"/>
        <v>2.1464043815791323</v>
      </c>
      <c r="BA90" s="12"/>
    </row>
    <row r="91" spans="16:53" x14ac:dyDescent="0.2">
      <c r="P91">
        <f t="shared" si="106"/>
        <v>22.25</v>
      </c>
      <c r="Q91">
        <f t="shared" si="103"/>
        <v>890</v>
      </c>
      <c r="R91" s="12">
        <f t="shared" si="71"/>
        <v>-11.856370674647881</v>
      </c>
      <c r="S91" s="12">
        <f t="shared" si="72"/>
        <v>-14.297388166487149</v>
      </c>
      <c r="T91" s="12">
        <f t="shared" si="73"/>
        <v>-9.531592110991431</v>
      </c>
      <c r="U91" s="12">
        <f t="shared" si="74"/>
        <v>-13.948671381938683</v>
      </c>
      <c r="V91" s="12">
        <f t="shared" si="75"/>
        <v>-9.8803088955398994</v>
      </c>
      <c r="W91" s="12">
        <f t="shared" si="76"/>
        <v>-7.9042471164319199</v>
      </c>
      <c r="X91" s="12">
        <f t="shared" si="77"/>
        <v>-9.058942873022616</v>
      </c>
      <c r="Y91" s="12">
        <f t="shared" si="78"/>
        <v>-4.8278763355823919</v>
      </c>
      <c r="Z91" s="12">
        <f t="shared" si="79"/>
        <v>-7.9042471164319199</v>
      </c>
      <c r="AA91" s="12">
        <f t="shared" si="80"/>
        <v>-7.9042471164319199</v>
      </c>
      <c r="AB91" s="12">
        <f t="shared" si="81"/>
        <v>-7.9042471164319199</v>
      </c>
      <c r="AC91" s="12">
        <f t="shared" si="82"/>
        <v>-6.2769021218724061</v>
      </c>
      <c r="AD91" s="12">
        <f t="shared" si="83"/>
        <v>-7.5275455393854438</v>
      </c>
      <c r="AE91" s="12">
        <f t="shared" si="84"/>
        <v>-5.005761080010811</v>
      </c>
      <c r="AF91" s="12">
        <f t="shared" si="85"/>
        <v>-6.1929515424898085</v>
      </c>
      <c r="AG91" s="12">
        <f t="shared" si="86"/>
        <v>-4.8187298911897853</v>
      </c>
      <c r="AH91" s="12">
        <f t="shared" si="104"/>
        <v>23.554931577600509</v>
      </c>
      <c r="AJ91">
        <f t="shared" si="105"/>
        <v>890</v>
      </c>
      <c r="AK91" s="12">
        <f t="shared" si="87"/>
        <v>0</v>
      </c>
      <c r="AL91" s="12">
        <f t="shared" si="88"/>
        <v>0</v>
      </c>
      <c r="AM91" s="12">
        <f t="shared" si="89"/>
        <v>0</v>
      </c>
      <c r="AN91" s="12">
        <f t="shared" si="90"/>
        <v>0</v>
      </c>
      <c r="AO91" s="12">
        <f t="shared" si="91"/>
        <v>0</v>
      </c>
      <c r="AP91" s="12">
        <f t="shared" si="92"/>
        <v>0</v>
      </c>
      <c r="AQ91" s="12">
        <f t="shared" si="93"/>
        <v>0.66197257702985857</v>
      </c>
      <c r="AR91" s="12">
        <f t="shared" si="94"/>
        <v>2.0348127170410231</v>
      </c>
      <c r="AS91" s="12">
        <f t="shared" si="95"/>
        <v>0</v>
      </c>
      <c r="AT91" s="12">
        <f t="shared" si="96"/>
        <v>0</v>
      </c>
      <c r="AU91" s="12">
        <f t="shared" si="97"/>
        <v>0</v>
      </c>
      <c r="AV91" s="12">
        <f t="shared" si="98"/>
        <v>0</v>
      </c>
      <c r="AW91" s="12">
        <f t="shared" si="99"/>
        <v>0.52747641462943251</v>
      </c>
      <c r="AX91" s="12">
        <f t="shared" si="100"/>
        <v>2.2789954035447715</v>
      </c>
      <c r="AY91" s="12">
        <f t="shared" si="101"/>
        <v>2.9103061228041791</v>
      </c>
      <c r="AZ91" s="12">
        <f t="shared" si="102"/>
        <v>2.0574068791495721</v>
      </c>
      <c r="BA91" s="12"/>
    </row>
    <row r="92" spans="16:53" x14ac:dyDescent="0.2">
      <c r="P92">
        <f t="shared" si="106"/>
        <v>22.5</v>
      </c>
      <c r="Q92">
        <f t="shared" si="103"/>
        <v>900</v>
      </c>
      <c r="R92" s="12">
        <f t="shared" si="71"/>
        <v>-11.856370674647881</v>
      </c>
      <c r="S92" s="12">
        <f t="shared" si="72"/>
        <v>-14.297388166487149</v>
      </c>
      <c r="T92" s="12">
        <f t="shared" si="73"/>
        <v>-9.531592110991431</v>
      </c>
      <c r="U92" s="12">
        <f t="shared" si="74"/>
        <v>-13.948671381938683</v>
      </c>
      <c r="V92" s="12">
        <f t="shared" si="75"/>
        <v>-9.8803088955398994</v>
      </c>
      <c r="W92" s="12">
        <f t="shared" si="76"/>
        <v>-7.9042471164319199</v>
      </c>
      <c r="X92" s="12">
        <f t="shared" si="77"/>
        <v>-9.1587738809532144</v>
      </c>
      <c r="Y92" s="12">
        <f t="shared" si="78"/>
        <v>-5.0472571161608801</v>
      </c>
      <c r="Z92" s="12">
        <f t="shared" si="79"/>
        <v>-7.9042471164319199</v>
      </c>
      <c r="AA92" s="12">
        <f t="shared" si="80"/>
        <v>-7.9042471164319199</v>
      </c>
      <c r="AB92" s="12">
        <f t="shared" si="81"/>
        <v>-7.9042471164319199</v>
      </c>
      <c r="AC92" s="12">
        <f t="shared" si="82"/>
        <v>-6.2769021218724061</v>
      </c>
      <c r="AD92" s="12">
        <f t="shared" si="83"/>
        <v>-7.6352968592606878</v>
      </c>
      <c r="AE92" s="12">
        <f t="shared" si="84"/>
        <v>-5.096813411247183</v>
      </c>
      <c r="AF92" s="12">
        <f t="shared" si="85"/>
        <v>-6.2743604775957609</v>
      </c>
      <c r="AG92" s="12">
        <f t="shared" si="86"/>
        <v>-4.8964502288077867</v>
      </c>
      <c r="AH92" s="12">
        <f t="shared" si="104"/>
        <v>23.554931577600509</v>
      </c>
      <c r="AJ92">
        <f t="shared" si="105"/>
        <v>900</v>
      </c>
      <c r="AK92" s="12">
        <f t="shared" si="87"/>
        <v>0</v>
      </c>
      <c r="AL92" s="12">
        <f t="shared" si="88"/>
        <v>0</v>
      </c>
      <c r="AM92" s="12">
        <f t="shared" si="89"/>
        <v>0</v>
      </c>
      <c r="AN92" s="12">
        <f t="shared" si="90"/>
        <v>0</v>
      </c>
      <c r="AO92" s="12">
        <f t="shared" si="91"/>
        <v>0</v>
      </c>
      <c r="AP92" s="12">
        <f t="shared" si="92"/>
        <v>0</v>
      </c>
      <c r="AQ92" s="12">
        <f t="shared" si="93"/>
        <v>0.52780554901323307</v>
      </c>
      <c r="AR92" s="12">
        <f t="shared" si="94"/>
        <v>1.7448872023776851</v>
      </c>
      <c r="AS92" s="12">
        <f t="shared" si="95"/>
        <v>0</v>
      </c>
      <c r="AT92" s="12">
        <f t="shared" si="96"/>
        <v>0</v>
      </c>
      <c r="AU92" s="12">
        <f t="shared" si="97"/>
        <v>0</v>
      </c>
      <c r="AV92" s="12">
        <f t="shared" si="98"/>
        <v>0</v>
      </c>
      <c r="AW92" s="12">
        <f t="shared" si="99"/>
        <v>0.38064655647143697</v>
      </c>
      <c r="AX92" s="12">
        <f t="shared" si="100"/>
        <v>2.1741380790058065</v>
      </c>
      <c r="AY92" s="12">
        <f t="shared" si="101"/>
        <v>2.8252168599404781</v>
      </c>
      <c r="AZ92" s="12">
        <f t="shared" si="102"/>
        <v>1.9684757199708018</v>
      </c>
      <c r="BA92" s="12"/>
    </row>
    <row r="93" spans="16:53" x14ac:dyDescent="0.2">
      <c r="P93">
        <f t="shared" si="106"/>
        <v>22.75</v>
      </c>
      <c r="Q93">
        <f t="shared" si="103"/>
        <v>910</v>
      </c>
      <c r="R93" s="12">
        <f t="shared" si="71"/>
        <v>-11.856370674647881</v>
      </c>
      <c r="S93" s="12">
        <f t="shared" si="72"/>
        <v>-14.297388166487149</v>
      </c>
      <c r="T93" s="12">
        <f t="shared" si="73"/>
        <v>-9.531592110991431</v>
      </c>
      <c r="U93" s="12">
        <f t="shared" si="74"/>
        <v>-13.948671381938683</v>
      </c>
      <c r="V93" s="12">
        <f t="shared" si="75"/>
        <v>-9.8803088955398994</v>
      </c>
      <c r="W93" s="12">
        <f t="shared" si="76"/>
        <v>-7.9042471164319199</v>
      </c>
      <c r="X93" s="12">
        <f t="shared" si="77"/>
        <v>-9.2564825653332381</v>
      </c>
      <c r="Y93" s="12">
        <f t="shared" si="78"/>
        <v>-5.2620858116328426</v>
      </c>
      <c r="Z93" s="12">
        <f t="shared" si="79"/>
        <v>-7.9042471164319199</v>
      </c>
      <c r="AA93" s="12">
        <f t="shared" si="80"/>
        <v>-7.9042471164319199</v>
      </c>
      <c r="AB93" s="12">
        <f t="shared" si="81"/>
        <v>-7.9042471164319199</v>
      </c>
      <c r="AC93" s="12">
        <f t="shared" si="82"/>
        <v>-6.2769021218724061</v>
      </c>
      <c r="AD93" s="12">
        <f t="shared" si="83"/>
        <v>-7.7407737838304982</v>
      </c>
      <c r="AE93" s="12">
        <f t="shared" si="84"/>
        <v>-5.1859157505886415</v>
      </c>
      <c r="AF93" s="12">
        <f t="shared" si="85"/>
        <v>-6.3540280652200458</v>
      </c>
      <c r="AG93" s="12">
        <f t="shared" si="86"/>
        <v>-4.9725218999281999</v>
      </c>
      <c r="AH93" s="12">
        <f t="shared" si="104"/>
        <v>23.554931577600509</v>
      </c>
      <c r="AJ93">
        <f t="shared" si="105"/>
        <v>910</v>
      </c>
      <c r="AK93" s="12">
        <f t="shared" si="87"/>
        <v>0</v>
      </c>
      <c r="AL93" s="12">
        <f t="shared" si="88"/>
        <v>0</v>
      </c>
      <c r="AM93" s="12">
        <f t="shared" si="89"/>
        <v>0</v>
      </c>
      <c r="AN93" s="12">
        <f t="shared" si="90"/>
        <v>0</v>
      </c>
      <c r="AO93" s="12">
        <f t="shared" si="91"/>
        <v>0</v>
      </c>
      <c r="AP93" s="12">
        <f t="shared" si="92"/>
        <v>0</v>
      </c>
      <c r="AQ93" s="12">
        <f t="shared" si="93"/>
        <v>0.39365155459851697</v>
      </c>
      <c r="AR93" s="12">
        <f t="shared" si="94"/>
        <v>1.4550347298440856</v>
      </c>
      <c r="AS93" s="12">
        <f t="shared" si="95"/>
        <v>0</v>
      </c>
      <c r="AT93" s="12">
        <f t="shared" si="96"/>
        <v>0</v>
      </c>
      <c r="AU93" s="12">
        <f t="shared" si="97"/>
        <v>0</v>
      </c>
      <c r="AV93" s="12">
        <f t="shared" si="98"/>
        <v>0</v>
      </c>
      <c r="AW93" s="12">
        <f t="shared" si="99"/>
        <v>0.23382784923735181</v>
      </c>
      <c r="AX93" s="12">
        <f t="shared" si="100"/>
        <v>2.0693301525161889</v>
      </c>
      <c r="AY93" s="12">
        <f t="shared" si="101"/>
        <v>2.7402018490923412</v>
      </c>
      <c r="AZ93" s="12">
        <f t="shared" si="102"/>
        <v>1.8796053700210364</v>
      </c>
      <c r="BA93" s="12"/>
    </row>
    <row r="94" spans="16:53" x14ac:dyDescent="0.2">
      <c r="P94">
        <f t="shared" si="106"/>
        <v>23</v>
      </c>
      <c r="Q94">
        <f t="shared" si="103"/>
        <v>920</v>
      </c>
      <c r="R94" s="12">
        <f t="shared" si="71"/>
        <v>-11.856370674647881</v>
      </c>
      <c r="S94" s="12">
        <f t="shared" si="72"/>
        <v>-14.297388166487149</v>
      </c>
      <c r="T94" s="12">
        <f t="shared" si="73"/>
        <v>-9.531592110991431</v>
      </c>
      <c r="U94" s="12">
        <f t="shared" si="74"/>
        <v>-13.948671381938683</v>
      </c>
      <c r="V94" s="12">
        <f t="shared" si="75"/>
        <v>-9.8803088955398994</v>
      </c>
      <c r="W94" s="12">
        <f t="shared" si="76"/>
        <v>-7.9042471164319199</v>
      </c>
      <c r="X94" s="12">
        <f t="shared" si="77"/>
        <v>-9.352135892567512</v>
      </c>
      <c r="Y94" s="12">
        <f t="shared" si="78"/>
        <v>-5.4725026487586614</v>
      </c>
      <c r="Z94" s="12">
        <f t="shared" si="79"/>
        <v>-7.9042471164319199</v>
      </c>
      <c r="AA94" s="12">
        <f t="shared" si="80"/>
        <v>-7.9042471164319199</v>
      </c>
      <c r="AB94" s="12">
        <f t="shared" si="81"/>
        <v>-7.9042471164319199</v>
      </c>
      <c r="AC94" s="12">
        <f t="shared" si="82"/>
        <v>-6.2769021218724061</v>
      </c>
      <c r="AD94" s="12">
        <f t="shared" si="83"/>
        <v>-7.8440475723165477</v>
      </c>
      <c r="AE94" s="12">
        <f t="shared" si="84"/>
        <v>-5.2731300763927011</v>
      </c>
      <c r="AF94" s="12">
        <f t="shared" si="85"/>
        <v>-6.432009585603315</v>
      </c>
      <c r="AG94" s="12">
        <f t="shared" si="86"/>
        <v>-5.0469968132519645</v>
      </c>
      <c r="AH94" s="12">
        <f t="shared" si="104"/>
        <v>23.554931577600509</v>
      </c>
      <c r="AJ94">
        <f t="shared" si="105"/>
        <v>920</v>
      </c>
      <c r="AK94" s="12">
        <f t="shared" si="87"/>
        <v>0</v>
      </c>
      <c r="AL94" s="12">
        <f t="shared" si="88"/>
        <v>0</v>
      </c>
      <c r="AM94" s="12">
        <f t="shared" si="89"/>
        <v>0</v>
      </c>
      <c r="AN94" s="12">
        <f t="shared" si="90"/>
        <v>0</v>
      </c>
      <c r="AO94" s="12">
        <f t="shared" si="91"/>
        <v>0</v>
      </c>
      <c r="AP94" s="12">
        <f t="shared" si="92"/>
        <v>0</v>
      </c>
      <c r="AQ94" s="12">
        <f t="shared" si="93"/>
        <v>0.25950687996167143</v>
      </c>
      <c r="AR94" s="12">
        <f t="shared" si="94"/>
        <v>1.1652406940024049</v>
      </c>
      <c r="AS94" s="12">
        <f t="shared" si="95"/>
        <v>0</v>
      </c>
      <c r="AT94" s="12">
        <f t="shared" si="96"/>
        <v>0</v>
      </c>
      <c r="AU94" s="12">
        <f t="shared" si="97"/>
        <v>0</v>
      </c>
      <c r="AV94" s="12">
        <f t="shared" si="98"/>
        <v>0</v>
      </c>
      <c r="AW94" s="12">
        <f t="shared" si="99"/>
        <v>8.7015718359325173E-2</v>
      </c>
      <c r="AX94" s="12">
        <f t="shared" si="100"/>
        <v>1.9645672670253465</v>
      </c>
      <c r="AY94" s="12">
        <f t="shared" si="101"/>
        <v>2.6552558384458758</v>
      </c>
      <c r="AZ94" s="12">
        <f t="shared" si="102"/>
        <v>1.7907906697906173</v>
      </c>
      <c r="BA94" s="12"/>
    </row>
    <row r="95" spans="16:53" x14ac:dyDescent="0.2">
      <c r="P95">
        <f t="shared" si="106"/>
        <v>23.25</v>
      </c>
      <c r="Q95">
        <f t="shared" si="103"/>
        <v>930</v>
      </c>
      <c r="R95" s="12">
        <f t="shared" si="71"/>
        <v>-11.856370674647881</v>
      </c>
      <c r="S95" s="12">
        <f t="shared" si="72"/>
        <v>-14.297388166487149</v>
      </c>
      <c r="T95" s="12">
        <f t="shared" si="73"/>
        <v>-9.531592110991431</v>
      </c>
      <c r="U95" s="12">
        <f t="shared" si="74"/>
        <v>-13.948671381938683</v>
      </c>
      <c r="V95" s="12">
        <f t="shared" si="75"/>
        <v>-9.8803088955398994</v>
      </c>
      <c r="W95" s="12">
        <f t="shared" si="76"/>
        <v>-7.9042471164319199</v>
      </c>
      <c r="X95" s="12">
        <f t="shared" si="77"/>
        <v>-9.4457980410327274</v>
      </c>
      <c r="Y95" s="12">
        <f t="shared" si="78"/>
        <v>-5.6786421532673454</v>
      </c>
      <c r="Z95" s="12">
        <f t="shared" si="79"/>
        <v>-7.9042471164319199</v>
      </c>
      <c r="AA95" s="12">
        <f t="shared" si="80"/>
        <v>-7.9042471164319199</v>
      </c>
      <c r="AB95" s="12">
        <f t="shared" si="81"/>
        <v>-7.9042471164319199</v>
      </c>
      <c r="AC95" s="12">
        <f t="shared" si="82"/>
        <v>-6.2769021218724061</v>
      </c>
      <c r="AD95" s="12">
        <f t="shared" si="83"/>
        <v>-7.9042471164319199</v>
      </c>
      <c r="AE95" s="12">
        <f t="shared" si="84"/>
        <v>-5.3585157680001911</v>
      </c>
      <c r="AF95" s="12">
        <f t="shared" si="85"/>
        <v>-6.5083580036096542</v>
      </c>
      <c r="AG95" s="12">
        <f t="shared" si="86"/>
        <v>-5.1199247209672327</v>
      </c>
      <c r="AH95" s="12">
        <f t="shared" si="104"/>
        <v>23.554931577600509</v>
      </c>
      <c r="AJ95">
        <f t="shared" si="105"/>
        <v>930</v>
      </c>
      <c r="AK95" s="12">
        <f t="shared" si="87"/>
        <v>0</v>
      </c>
      <c r="AL95" s="12">
        <f t="shared" si="88"/>
        <v>0</v>
      </c>
      <c r="AM95" s="12">
        <f t="shared" si="89"/>
        <v>0</v>
      </c>
      <c r="AN95" s="12">
        <f t="shared" si="90"/>
        <v>0</v>
      </c>
      <c r="AO95" s="12">
        <f t="shared" si="91"/>
        <v>0</v>
      </c>
      <c r="AP95" s="12">
        <f t="shared" si="92"/>
        <v>0</v>
      </c>
      <c r="AQ95" s="12">
        <f t="shared" si="93"/>
        <v>0.12536810196275605</v>
      </c>
      <c r="AR95" s="12">
        <f t="shared" si="94"/>
        <v>0.87549158042288677</v>
      </c>
      <c r="AS95" s="12">
        <f t="shared" si="95"/>
        <v>0</v>
      </c>
      <c r="AT95" s="12">
        <f t="shared" si="96"/>
        <v>0</v>
      </c>
      <c r="AU95" s="12">
        <f t="shared" si="97"/>
        <v>0</v>
      </c>
      <c r="AV95" s="12">
        <f t="shared" si="98"/>
        <v>0</v>
      </c>
      <c r="AW95" s="12">
        <f t="shared" si="99"/>
        <v>0</v>
      </c>
      <c r="AX95" s="12">
        <f t="shared" si="100"/>
        <v>1.8598453638374615</v>
      </c>
      <c r="AY95" s="12">
        <f t="shared" si="101"/>
        <v>2.5703739161262971</v>
      </c>
      <c r="AZ95" s="12">
        <f t="shared" si="102"/>
        <v>1.7020268075260478</v>
      </c>
      <c r="BA95" s="12"/>
    </row>
    <row r="96" spans="16:53" x14ac:dyDescent="0.2">
      <c r="P96">
        <f t="shared" si="106"/>
        <v>23.5</v>
      </c>
      <c r="Q96">
        <f t="shared" si="103"/>
        <v>940</v>
      </c>
      <c r="R96" s="12">
        <f t="shared" si="71"/>
        <v>-11.856370674647881</v>
      </c>
      <c r="S96" s="12">
        <f t="shared" si="72"/>
        <v>-14.297388166487149</v>
      </c>
      <c r="T96" s="12">
        <f t="shared" si="73"/>
        <v>-9.531592110991431</v>
      </c>
      <c r="U96" s="12">
        <f t="shared" si="74"/>
        <v>-13.948671381938683</v>
      </c>
      <c r="V96" s="12">
        <f t="shared" si="75"/>
        <v>-9.8803088955398994</v>
      </c>
      <c r="W96" s="12">
        <f t="shared" si="76"/>
        <v>-7.9042471164319199</v>
      </c>
      <c r="X96" s="12">
        <f t="shared" si="77"/>
        <v>-9.531592110991431</v>
      </c>
      <c r="Y96" s="12">
        <f t="shared" si="78"/>
        <v>-5.880633436666395</v>
      </c>
      <c r="Z96" s="12">
        <f t="shared" si="79"/>
        <v>-7.9042471164319199</v>
      </c>
      <c r="AA96" s="12">
        <f t="shared" si="80"/>
        <v>-7.9042471164319199</v>
      </c>
      <c r="AB96" s="12">
        <f t="shared" si="81"/>
        <v>-7.9042471164319199</v>
      </c>
      <c r="AC96" s="12">
        <f t="shared" si="82"/>
        <v>-6.2769021218724061</v>
      </c>
      <c r="AD96" s="12">
        <f t="shared" si="83"/>
        <v>-7.9042471164319199</v>
      </c>
      <c r="AE96" s="12">
        <f t="shared" si="84"/>
        <v>-5.4421297405566555</v>
      </c>
      <c r="AF96" s="12">
        <f t="shared" si="85"/>
        <v>-6.5831240886929443</v>
      </c>
      <c r="AG96" s="12">
        <f t="shared" si="86"/>
        <v>-5.1913533295868293</v>
      </c>
      <c r="AH96" s="12">
        <f t="shared" si="104"/>
        <v>23.554931577600509</v>
      </c>
      <c r="AJ96">
        <f t="shared" si="105"/>
        <v>940</v>
      </c>
      <c r="AK96" s="12">
        <f t="shared" si="87"/>
        <v>0</v>
      </c>
      <c r="AL96" s="12">
        <f t="shared" si="88"/>
        <v>0</v>
      </c>
      <c r="AM96" s="12">
        <f t="shared" si="89"/>
        <v>0</v>
      </c>
      <c r="AN96" s="12">
        <f t="shared" si="90"/>
        <v>0</v>
      </c>
      <c r="AO96" s="12">
        <f t="shared" si="91"/>
        <v>0</v>
      </c>
      <c r="AP96" s="12">
        <f t="shared" si="92"/>
        <v>0</v>
      </c>
      <c r="AQ96" s="12">
        <f t="shared" si="93"/>
        <v>0</v>
      </c>
      <c r="AR96" s="12">
        <f t="shared" si="94"/>
        <v>0.5857748860346802</v>
      </c>
      <c r="AS96" s="12">
        <f t="shared" si="95"/>
        <v>0</v>
      </c>
      <c r="AT96" s="12">
        <f t="shared" si="96"/>
        <v>0</v>
      </c>
      <c r="AU96" s="12">
        <f t="shared" si="97"/>
        <v>0</v>
      </c>
      <c r="AV96" s="12">
        <f t="shared" si="98"/>
        <v>0</v>
      </c>
      <c r="AW96" s="12">
        <f t="shared" si="99"/>
        <v>0</v>
      </c>
      <c r="AX96" s="12">
        <f t="shared" si="100"/>
        <v>1.7551606611978776</v>
      </c>
      <c r="AY96" s="12">
        <f t="shared" si="101"/>
        <v>2.4855514864330956</v>
      </c>
      <c r="AZ96" s="12">
        <f t="shared" si="102"/>
        <v>1.6133092945702794</v>
      </c>
      <c r="BA96" s="12"/>
    </row>
    <row r="97" spans="16:53" x14ac:dyDescent="0.2">
      <c r="P97">
        <f t="shared" si="106"/>
        <v>23.75</v>
      </c>
      <c r="Q97">
        <f t="shared" si="103"/>
        <v>950</v>
      </c>
      <c r="R97" s="12">
        <f t="shared" si="71"/>
        <v>-11.856370674647881</v>
      </c>
      <c r="S97" s="12">
        <f t="shared" si="72"/>
        <v>-14.297388166487149</v>
      </c>
      <c r="T97" s="12">
        <f t="shared" si="73"/>
        <v>-9.531592110991431</v>
      </c>
      <c r="U97" s="12">
        <f t="shared" si="74"/>
        <v>-13.948671381938683</v>
      </c>
      <c r="V97" s="12">
        <f t="shared" si="75"/>
        <v>-9.8803088955398994</v>
      </c>
      <c r="W97" s="12">
        <f t="shared" si="76"/>
        <v>-7.9042471164319199</v>
      </c>
      <c r="X97" s="12">
        <f t="shared" si="77"/>
        <v>-9.531592110991431</v>
      </c>
      <c r="Y97" s="12">
        <f t="shared" si="78"/>
        <v>-6.0786004659094317</v>
      </c>
      <c r="Z97" s="12">
        <f t="shared" si="79"/>
        <v>-7.9042471164319199</v>
      </c>
      <c r="AA97" s="12">
        <f t="shared" si="80"/>
        <v>-7.9042471164319199</v>
      </c>
      <c r="AB97" s="12">
        <f t="shared" si="81"/>
        <v>-7.9042471164319199</v>
      </c>
      <c r="AC97" s="12">
        <f t="shared" si="82"/>
        <v>-6.2769021218724061</v>
      </c>
      <c r="AD97" s="12">
        <f t="shared" si="83"/>
        <v>-7.9042471164319199</v>
      </c>
      <c r="AE97" s="12">
        <f t="shared" si="84"/>
        <v>-5.5240265715274548</v>
      </c>
      <c r="AF97" s="12">
        <f t="shared" si="85"/>
        <v>-6.6563565274807415</v>
      </c>
      <c r="AG97" s="12">
        <f t="shared" si="86"/>
        <v>-5.2613284040192649</v>
      </c>
      <c r="AH97" s="12">
        <f t="shared" si="104"/>
        <v>23.554931577600509</v>
      </c>
      <c r="AJ97">
        <f t="shared" si="105"/>
        <v>950</v>
      </c>
      <c r="AK97" s="12">
        <f t="shared" si="87"/>
        <v>0</v>
      </c>
      <c r="AL97" s="12">
        <f t="shared" si="88"/>
        <v>0</v>
      </c>
      <c r="AM97" s="12">
        <f t="shared" si="89"/>
        <v>0</v>
      </c>
      <c r="AN97" s="12">
        <f t="shared" si="90"/>
        <v>0</v>
      </c>
      <c r="AO97" s="12">
        <f t="shared" si="91"/>
        <v>0</v>
      </c>
      <c r="AP97" s="12">
        <f t="shared" si="92"/>
        <v>0</v>
      </c>
      <c r="AQ97" s="12">
        <f t="shared" si="93"/>
        <v>0</v>
      </c>
      <c r="AR97" s="12">
        <f t="shared" si="94"/>
        <v>0.29607904570245724</v>
      </c>
      <c r="AS97" s="12">
        <f t="shared" si="95"/>
        <v>0</v>
      </c>
      <c r="AT97" s="12">
        <f t="shared" si="96"/>
        <v>0</v>
      </c>
      <c r="AU97" s="12">
        <f t="shared" si="97"/>
        <v>0</v>
      </c>
      <c r="AV97" s="12">
        <f t="shared" si="98"/>
        <v>0</v>
      </c>
      <c r="AW97" s="12">
        <f t="shared" si="99"/>
        <v>0</v>
      </c>
      <c r="AX97" s="12">
        <f t="shared" si="100"/>
        <v>1.6505096345608079</v>
      </c>
      <c r="AY97" s="12">
        <f t="shared" si="101"/>
        <v>2.4007842479123327</v>
      </c>
      <c r="AZ97" s="12">
        <f t="shared" si="102"/>
        <v>1.5246339426185016</v>
      </c>
      <c r="BA97" s="12"/>
    </row>
    <row r="98" spans="16:53" x14ac:dyDescent="0.2">
      <c r="P98">
        <f t="shared" si="106"/>
        <v>24</v>
      </c>
      <c r="Q98">
        <f t="shared" si="103"/>
        <v>960</v>
      </c>
      <c r="R98" s="12">
        <f t="shared" si="71"/>
        <v>-11.856370674647881</v>
      </c>
      <c r="S98" s="12">
        <f t="shared" si="72"/>
        <v>-14.297388166487149</v>
      </c>
      <c r="T98" s="12">
        <f t="shared" si="73"/>
        <v>-9.531592110991431</v>
      </c>
      <c r="U98" s="12">
        <f t="shared" si="74"/>
        <v>-13.948671381938683</v>
      </c>
      <c r="V98" s="12">
        <f t="shared" si="75"/>
        <v>-9.8803088955398994</v>
      </c>
      <c r="W98" s="12">
        <f t="shared" si="76"/>
        <v>-7.9042471164319199</v>
      </c>
      <c r="X98" s="12">
        <f t="shared" si="77"/>
        <v>-9.531592110991431</v>
      </c>
      <c r="Y98" s="12">
        <f t="shared" si="78"/>
        <v>-6.2726623171050919</v>
      </c>
      <c r="Z98" s="12">
        <f t="shared" si="79"/>
        <v>-7.9042471164319199</v>
      </c>
      <c r="AA98" s="12">
        <f t="shared" si="80"/>
        <v>-7.9042471164319199</v>
      </c>
      <c r="AB98" s="12">
        <f t="shared" si="81"/>
        <v>-7.9042471164319199</v>
      </c>
      <c r="AC98" s="12">
        <f t="shared" si="82"/>
        <v>-6.2769021218724061</v>
      </c>
      <c r="AD98" s="12">
        <f t="shared" si="83"/>
        <v>-7.9042471164319199</v>
      </c>
      <c r="AE98" s="12">
        <f t="shared" si="84"/>
        <v>-5.6042586194975499</v>
      </c>
      <c r="AF98" s="12">
        <f t="shared" si="85"/>
        <v>-6.7281020295003531</v>
      </c>
      <c r="AG98" s="12">
        <f t="shared" si="86"/>
        <v>-5.3298938653503711</v>
      </c>
      <c r="AH98" s="12">
        <f t="shared" si="104"/>
        <v>23.554931577600509</v>
      </c>
      <c r="AJ98">
        <f t="shared" si="105"/>
        <v>960</v>
      </c>
      <c r="AK98" s="12">
        <f t="shared" si="87"/>
        <v>0</v>
      </c>
      <c r="AL98" s="12">
        <f t="shared" si="88"/>
        <v>0</v>
      </c>
      <c r="AM98" s="12">
        <f t="shared" si="89"/>
        <v>0</v>
      </c>
      <c r="AN98" s="12">
        <f t="shared" si="90"/>
        <v>0</v>
      </c>
      <c r="AO98" s="12">
        <f t="shared" si="91"/>
        <v>0</v>
      </c>
      <c r="AP98" s="12">
        <f t="shared" si="92"/>
        <v>0</v>
      </c>
      <c r="AQ98" s="12">
        <f t="shared" si="93"/>
        <v>0</v>
      </c>
      <c r="AR98" s="12">
        <f t="shared" si="94"/>
        <v>6.3933644988213335E-3</v>
      </c>
      <c r="AS98" s="12">
        <f t="shared" si="95"/>
        <v>0</v>
      </c>
      <c r="AT98" s="12">
        <f t="shared" si="96"/>
        <v>0</v>
      </c>
      <c r="AU98" s="12">
        <f t="shared" si="97"/>
        <v>0</v>
      </c>
      <c r="AV98" s="12">
        <f t="shared" si="98"/>
        <v>0</v>
      </c>
      <c r="AW98" s="12">
        <f t="shared" si="99"/>
        <v>0</v>
      </c>
      <c r="AX98" s="12">
        <f t="shared" si="100"/>
        <v>1.5458889983931947</v>
      </c>
      <c r="AY98" s="12">
        <f t="shared" si="101"/>
        <v>2.3160681731091097</v>
      </c>
      <c r="AZ98" s="12">
        <f t="shared" si="102"/>
        <v>1.4359968427257748</v>
      </c>
      <c r="BA98" s="12"/>
    </row>
    <row r="99" spans="16:53" x14ac:dyDescent="0.2">
      <c r="P99">
        <f t="shared" si="106"/>
        <v>24.25</v>
      </c>
      <c r="Q99">
        <f t="shared" si="103"/>
        <v>970</v>
      </c>
      <c r="R99" s="12">
        <f t="shared" si="71"/>
        <v>-11.856370674647881</v>
      </c>
      <c r="S99" s="12">
        <f t="shared" si="72"/>
        <v>-14.297388166487149</v>
      </c>
      <c r="T99" s="12">
        <f t="shared" si="73"/>
        <v>-9.531592110991431</v>
      </c>
      <c r="U99" s="12">
        <f t="shared" si="74"/>
        <v>-13.948671381938683</v>
      </c>
      <c r="V99" s="12">
        <f t="shared" si="75"/>
        <v>-9.8803088955398994</v>
      </c>
      <c r="W99" s="12">
        <f t="shared" si="76"/>
        <v>-7.9042471164319199</v>
      </c>
      <c r="X99" s="12">
        <f t="shared" si="77"/>
        <v>-9.531592110991431</v>
      </c>
      <c r="Y99" s="12">
        <f t="shared" si="78"/>
        <v>-6.2769021218724061</v>
      </c>
      <c r="Z99" s="12">
        <f t="shared" si="79"/>
        <v>-7.9042471164319199</v>
      </c>
      <c r="AA99" s="12">
        <f t="shared" si="80"/>
        <v>-7.9042471164319199</v>
      </c>
      <c r="AB99" s="12">
        <f t="shared" si="81"/>
        <v>-7.9042471164319199</v>
      </c>
      <c r="AC99" s="12">
        <f t="shared" si="82"/>
        <v>-6.2769021218724061</v>
      </c>
      <c r="AD99" s="12">
        <f t="shared" si="83"/>
        <v>-7.9042471164319199</v>
      </c>
      <c r="AE99" s="12">
        <f t="shared" si="84"/>
        <v>-5.6828761357993596</v>
      </c>
      <c r="AF99" s="12">
        <f t="shared" si="85"/>
        <v>-6.7984054265295253</v>
      </c>
      <c r="AG99" s="12">
        <f t="shared" si="86"/>
        <v>-5.3970918827745722</v>
      </c>
      <c r="AH99" s="12">
        <f t="shared" si="104"/>
        <v>23.554931577600509</v>
      </c>
      <c r="AJ99">
        <f t="shared" si="105"/>
        <v>970</v>
      </c>
      <c r="AK99" s="12">
        <f t="shared" si="87"/>
        <v>0</v>
      </c>
      <c r="AL99" s="12">
        <f t="shared" si="88"/>
        <v>0</v>
      </c>
      <c r="AM99" s="12">
        <f t="shared" si="89"/>
        <v>0</v>
      </c>
      <c r="AN99" s="12">
        <f t="shared" si="90"/>
        <v>0</v>
      </c>
      <c r="AO99" s="12">
        <f t="shared" si="91"/>
        <v>0</v>
      </c>
      <c r="AP99" s="12">
        <f t="shared" si="92"/>
        <v>0</v>
      </c>
      <c r="AQ99" s="12">
        <f t="shared" si="93"/>
        <v>0</v>
      </c>
      <c r="AR99" s="12">
        <f t="shared" si="94"/>
        <v>0</v>
      </c>
      <c r="AS99" s="12">
        <f t="shared" si="95"/>
        <v>0</v>
      </c>
      <c r="AT99" s="12">
        <f t="shared" si="96"/>
        <v>0</v>
      </c>
      <c r="AU99" s="12">
        <f t="shared" si="97"/>
        <v>0</v>
      </c>
      <c r="AV99" s="12">
        <f t="shared" si="98"/>
        <v>0</v>
      </c>
      <c r="AW99" s="12">
        <f t="shared" si="99"/>
        <v>0</v>
      </c>
      <c r="AX99" s="12">
        <f t="shared" si="100"/>
        <v>1.4412956893833639</v>
      </c>
      <c r="AY99" s="12">
        <f t="shared" si="101"/>
        <v>2.2313994898580605</v>
      </c>
      <c r="AZ99" s="12">
        <f t="shared" si="102"/>
        <v>1.3473943459181352</v>
      </c>
      <c r="BA99" s="12"/>
    </row>
    <row r="100" spans="16:53" x14ac:dyDescent="0.2">
      <c r="P100">
        <f t="shared" si="106"/>
        <v>24.5</v>
      </c>
      <c r="Q100">
        <f t="shared" si="103"/>
        <v>980</v>
      </c>
      <c r="R100" s="12">
        <f t="shared" si="71"/>
        <v>-11.856370674647881</v>
      </c>
      <c r="S100" s="12">
        <f t="shared" si="72"/>
        <v>-14.297388166487149</v>
      </c>
      <c r="T100" s="12">
        <f t="shared" si="73"/>
        <v>-9.531592110991431</v>
      </c>
      <c r="U100" s="12">
        <f t="shared" si="74"/>
        <v>-13.948671381938683</v>
      </c>
      <c r="V100" s="12">
        <f t="shared" si="75"/>
        <v>-9.8803088955398994</v>
      </c>
      <c r="W100" s="12">
        <f t="shared" si="76"/>
        <v>-7.9042471164319199</v>
      </c>
      <c r="X100" s="12">
        <f t="shared" si="77"/>
        <v>-9.531592110991431</v>
      </c>
      <c r="Y100" s="12">
        <f t="shared" si="78"/>
        <v>-6.2769021218724061</v>
      </c>
      <c r="Z100" s="12">
        <f t="shared" si="79"/>
        <v>-7.9042471164319199</v>
      </c>
      <c r="AA100" s="12">
        <f t="shared" si="80"/>
        <v>-7.9042471164319199</v>
      </c>
      <c r="AB100" s="12">
        <f t="shared" si="81"/>
        <v>-7.9042471164319199</v>
      </c>
      <c r="AC100" s="12">
        <f t="shared" si="82"/>
        <v>-6.2769021218724061</v>
      </c>
      <c r="AD100" s="12">
        <f t="shared" si="83"/>
        <v>-7.9042471164319199</v>
      </c>
      <c r="AE100" s="12">
        <f t="shared" si="84"/>
        <v>-5.7599273694687954</v>
      </c>
      <c r="AF100" s="12">
        <f t="shared" si="85"/>
        <v>-6.867309766015814</v>
      </c>
      <c r="AG100" s="12">
        <f t="shared" si="86"/>
        <v>-5.4629629600801408</v>
      </c>
      <c r="AH100" s="12">
        <f t="shared" si="104"/>
        <v>23.554931577600509</v>
      </c>
      <c r="AJ100">
        <f t="shared" si="105"/>
        <v>980</v>
      </c>
      <c r="AK100" s="12">
        <f t="shared" si="87"/>
        <v>0</v>
      </c>
      <c r="AL100" s="12">
        <f t="shared" si="88"/>
        <v>0</v>
      </c>
      <c r="AM100" s="12">
        <f t="shared" si="89"/>
        <v>0</v>
      </c>
      <c r="AN100" s="12">
        <f t="shared" si="90"/>
        <v>0</v>
      </c>
      <c r="AO100" s="12">
        <f t="shared" si="91"/>
        <v>0</v>
      </c>
      <c r="AP100" s="12">
        <f t="shared" si="92"/>
        <v>0</v>
      </c>
      <c r="AQ100" s="12">
        <f t="shared" si="93"/>
        <v>0</v>
      </c>
      <c r="AR100" s="12">
        <f t="shared" si="94"/>
        <v>0</v>
      </c>
      <c r="AS100" s="12">
        <f t="shared" si="95"/>
        <v>0</v>
      </c>
      <c r="AT100" s="12">
        <f t="shared" si="96"/>
        <v>0</v>
      </c>
      <c r="AU100" s="12">
        <f t="shared" si="97"/>
        <v>0</v>
      </c>
      <c r="AV100" s="12">
        <f t="shared" si="98"/>
        <v>0</v>
      </c>
      <c r="AW100" s="12">
        <f t="shared" si="99"/>
        <v>0</v>
      </c>
      <c r="AX100" s="12">
        <f t="shared" si="100"/>
        <v>1.3367268509353414</v>
      </c>
      <c r="AY100" s="12">
        <f t="shared" si="101"/>
        <v>2.1467746639828378</v>
      </c>
      <c r="AZ100" s="12">
        <f t="shared" si="102"/>
        <v>1.2588230452725688</v>
      </c>
      <c r="BA100" s="12"/>
    </row>
    <row r="101" spans="16:53" x14ac:dyDescent="0.2">
      <c r="P101">
        <f t="shared" si="106"/>
        <v>24.75</v>
      </c>
      <c r="Q101">
        <f t="shared" si="103"/>
        <v>990</v>
      </c>
      <c r="R101" s="12">
        <f t="shared" si="71"/>
        <v>-11.856370674647881</v>
      </c>
      <c r="S101" s="12">
        <f t="shared" si="72"/>
        <v>-14.297388166487149</v>
      </c>
      <c r="T101" s="12">
        <f t="shared" si="73"/>
        <v>-9.531592110991431</v>
      </c>
      <c r="U101" s="12">
        <f t="shared" si="74"/>
        <v>-13.948671381938683</v>
      </c>
      <c r="V101" s="12">
        <f t="shared" si="75"/>
        <v>-9.8803088955398994</v>
      </c>
      <c r="W101" s="12">
        <f t="shared" si="76"/>
        <v>-7.9042471164319199</v>
      </c>
      <c r="X101" s="12">
        <f t="shared" si="77"/>
        <v>-9.531592110991431</v>
      </c>
      <c r="Y101" s="12">
        <f t="shared" si="78"/>
        <v>-6.2769021218724061</v>
      </c>
      <c r="Z101" s="12">
        <f t="shared" si="79"/>
        <v>-7.9042471164319199</v>
      </c>
      <c r="AA101" s="12">
        <f t="shared" si="80"/>
        <v>-7.9042471164319199</v>
      </c>
      <c r="AB101" s="12">
        <f t="shared" si="81"/>
        <v>-7.9042471164319199</v>
      </c>
      <c r="AC101" s="12">
        <f t="shared" si="82"/>
        <v>-6.2769021218724061</v>
      </c>
      <c r="AD101" s="12">
        <f t="shared" si="83"/>
        <v>-7.9042471164319199</v>
      </c>
      <c r="AE101" s="12">
        <f t="shared" si="84"/>
        <v>-5.8354586659901004</v>
      </c>
      <c r="AF101" s="12">
        <f t="shared" si="85"/>
        <v>-6.9348563989736949</v>
      </c>
      <c r="AG101" s="12">
        <f t="shared" si="86"/>
        <v>-5.527546017061141</v>
      </c>
      <c r="AH101" s="12">
        <f t="shared" si="104"/>
        <v>23.554931577600509</v>
      </c>
      <c r="AJ101">
        <f t="shared" si="105"/>
        <v>990</v>
      </c>
      <c r="AK101" s="12">
        <f t="shared" si="87"/>
        <v>0</v>
      </c>
      <c r="AL101" s="12">
        <f t="shared" si="88"/>
        <v>0</v>
      </c>
      <c r="AM101" s="12">
        <f t="shared" si="89"/>
        <v>0</v>
      </c>
      <c r="AN101" s="12">
        <f t="shared" si="90"/>
        <v>0</v>
      </c>
      <c r="AO101" s="12">
        <f t="shared" si="91"/>
        <v>0</v>
      </c>
      <c r="AP101" s="12">
        <f t="shared" si="92"/>
        <v>0</v>
      </c>
      <c r="AQ101" s="12">
        <f t="shared" si="93"/>
        <v>0</v>
      </c>
      <c r="AR101" s="12">
        <f t="shared" si="94"/>
        <v>0</v>
      </c>
      <c r="AS101" s="12">
        <f t="shared" si="95"/>
        <v>0</v>
      </c>
      <c r="AT101" s="12">
        <f t="shared" si="96"/>
        <v>0</v>
      </c>
      <c r="AU101" s="12">
        <f t="shared" si="97"/>
        <v>0</v>
      </c>
      <c r="AV101" s="12">
        <f t="shared" si="98"/>
        <v>0</v>
      </c>
      <c r="AW101" s="12">
        <f t="shared" si="99"/>
        <v>0</v>
      </c>
      <c r="AX101" s="12">
        <f t="shared" si="100"/>
        <v>1.2321798188408009</v>
      </c>
      <c r="AY101" s="12">
        <f t="shared" si="101"/>
        <v>2.0621903832875073</v>
      </c>
      <c r="AZ101" s="12">
        <f t="shared" si="102"/>
        <v>1.1702797593436347</v>
      </c>
      <c r="BA101" s="12"/>
    </row>
    <row r="102" spans="16:53" x14ac:dyDescent="0.2">
      <c r="P102">
        <f t="shared" si="106"/>
        <v>25</v>
      </c>
      <c r="Q102">
        <f t="shared" si="103"/>
        <v>1000</v>
      </c>
      <c r="R102" s="12">
        <f t="shared" si="71"/>
        <v>-11.856370674647881</v>
      </c>
      <c r="S102" s="12">
        <f t="shared" si="72"/>
        <v>-14.297388166487149</v>
      </c>
      <c r="T102" s="12">
        <f t="shared" si="73"/>
        <v>-9.531592110991431</v>
      </c>
      <c r="U102" s="12">
        <f t="shared" si="74"/>
        <v>-13.948671381938683</v>
      </c>
      <c r="V102" s="12">
        <f t="shared" si="75"/>
        <v>-9.8803088955398994</v>
      </c>
      <c r="W102" s="12">
        <f t="shared" si="76"/>
        <v>-7.9042471164319199</v>
      </c>
      <c r="X102" s="12">
        <f t="shared" si="77"/>
        <v>-9.531592110991431</v>
      </c>
      <c r="Y102" s="12">
        <f t="shared" si="78"/>
        <v>-6.2769021218724061</v>
      </c>
      <c r="Z102" s="12">
        <f t="shared" si="79"/>
        <v>-7.9042471164319199</v>
      </c>
      <c r="AA102" s="12">
        <f t="shared" si="80"/>
        <v>-7.9042471164319199</v>
      </c>
      <c r="AB102" s="12">
        <f t="shared" si="81"/>
        <v>-7.9042471164319199</v>
      </c>
      <c r="AC102" s="12">
        <f t="shared" si="82"/>
        <v>-6.2769021218724061</v>
      </c>
      <c r="AD102" s="12">
        <f t="shared" si="83"/>
        <v>-7.9042471164319199</v>
      </c>
      <c r="AE102" s="12">
        <f t="shared" si="84"/>
        <v>-5.9095145602541601</v>
      </c>
      <c r="AF102" s="12">
        <f t="shared" si="85"/>
        <v>-7.001085062736518</v>
      </c>
      <c r="AG102" s="12">
        <f t="shared" si="86"/>
        <v>-5.5908784661999045</v>
      </c>
      <c r="AH102" s="12">
        <f t="shared" si="104"/>
        <v>23.554931577600509</v>
      </c>
      <c r="AJ102">
        <f t="shared" si="105"/>
        <v>1000</v>
      </c>
      <c r="AK102" s="12">
        <f t="shared" si="87"/>
        <v>0</v>
      </c>
      <c r="AL102" s="12">
        <f t="shared" si="88"/>
        <v>0</v>
      </c>
      <c r="AM102" s="12">
        <f t="shared" si="89"/>
        <v>0</v>
      </c>
      <c r="AN102" s="12">
        <f t="shared" si="90"/>
        <v>0</v>
      </c>
      <c r="AO102" s="12">
        <f t="shared" si="91"/>
        <v>0</v>
      </c>
      <c r="AP102" s="12">
        <f t="shared" si="92"/>
        <v>0</v>
      </c>
      <c r="AQ102" s="12">
        <f t="shared" si="93"/>
        <v>0</v>
      </c>
      <c r="AR102" s="12">
        <f t="shared" si="94"/>
        <v>0</v>
      </c>
      <c r="AS102" s="12">
        <f t="shared" si="95"/>
        <v>0</v>
      </c>
      <c r="AT102" s="12">
        <f t="shared" si="96"/>
        <v>0</v>
      </c>
      <c r="AU102" s="12">
        <f t="shared" si="97"/>
        <v>0</v>
      </c>
      <c r="AV102" s="12">
        <f t="shared" si="98"/>
        <v>0</v>
      </c>
      <c r="AW102" s="12">
        <f t="shared" si="99"/>
        <v>0</v>
      </c>
      <c r="AX102" s="12">
        <f t="shared" si="100"/>
        <v>1.1276521080305189</v>
      </c>
      <c r="AY102" s="12">
        <f t="shared" si="101"/>
        <v>1.977643542733414</v>
      </c>
      <c r="AZ102" s="12">
        <f t="shared" si="102"/>
        <v>1.0817615168256387</v>
      </c>
      <c r="BA102" s="12"/>
    </row>
    <row r="103" spans="16:53" x14ac:dyDescent="0.2">
      <c r="P103" s="12"/>
    </row>
    <row r="104" spans="16:53" x14ac:dyDescent="0.2">
      <c r="P104" s="12"/>
    </row>
    <row r="105" spans="16:53" x14ac:dyDescent="0.2">
      <c r="P105" s="12"/>
    </row>
    <row r="106" spans="16:53" x14ac:dyDescent="0.2">
      <c r="P106" s="12"/>
    </row>
    <row r="107" spans="16:53" x14ac:dyDescent="0.2">
      <c r="P107" s="12"/>
    </row>
    <row r="108" spans="16:53" x14ac:dyDescent="0.2">
      <c r="P108" s="12"/>
    </row>
    <row r="109" spans="16:53" x14ac:dyDescent="0.2">
      <c r="P109" s="12"/>
    </row>
    <row r="110" spans="16:53" x14ac:dyDescent="0.2">
      <c r="P110" s="12"/>
    </row>
    <row r="111" spans="16:53" x14ac:dyDescent="0.2">
      <c r="P111" s="12"/>
    </row>
    <row r="112" spans="16:53" x14ac:dyDescent="0.2">
      <c r="P112" s="12"/>
    </row>
    <row r="113" spans="16:16" x14ac:dyDescent="0.2">
      <c r="P113" s="12"/>
    </row>
    <row r="114" spans="16:16" x14ac:dyDescent="0.2">
      <c r="P114" s="12"/>
    </row>
    <row r="115" spans="16:16" x14ac:dyDescent="0.2">
      <c r="P115" s="12"/>
    </row>
    <row r="116" spans="16:16" x14ac:dyDescent="0.2">
      <c r="P116" s="12"/>
    </row>
    <row r="117" spans="16:16" x14ac:dyDescent="0.2">
      <c r="P117" s="12"/>
    </row>
    <row r="118" spans="16:16" x14ac:dyDescent="0.2">
      <c r="P118" s="12"/>
    </row>
    <row r="119" spans="16:16" x14ac:dyDescent="0.2">
      <c r="P119" s="12"/>
    </row>
    <row r="120" spans="16:16" x14ac:dyDescent="0.2">
      <c r="P120" s="12"/>
    </row>
    <row r="121" spans="16:16" x14ac:dyDescent="0.2">
      <c r="P121" s="12"/>
    </row>
    <row r="122" spans="16:16" x14ac:dyDescent="0.2">
      <c r="P122" s="12"/>
    </row>
    <row r="123" spans="16:16" x14ac:dyDescent="0.2">
      <c r="P123" s="12"/>
    </row>
    <row r="124" spans="16:16" x14ac:dyDescent="0.2">
      <c r="P124" s="12"/>
    </row>
    <row r="125" spans="16:16" x14ac:dyDescent="0.2">
      <c r="P125" s="12"/>
    </row>
    <row r="126" spans="16:16" x14ac:dyDescent="0.2">
      <c r="P126" s="12"/>
    </row>
    <row r="127" spans="16:16" x14ac:dyDescent="0.2">
      <c r="P127" s="12"/>
    </row>
    <row r="128" spans="16:16" x14ac:dyDescent="0.2">
      <c r="P128" s="12"/>
    </row>
    <row r="129" spans="3:16" x14ac:dyDescent="0.2">
      <c r="P129" s="12"/>
    </row>
    <row r="130" spans="3:16" x14ac:dyDescent="0.2"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</row>
    <row r="131" spans="3:16" x14ac:dyDescent="0.2"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</row>
    <row r="132" spans="3:16" x14ac:dyDescent="0.2"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</row>
    <row r="133" spans="3:16" x14ac:dyDescent="0.2"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</row>
    <row r="134" spans="3:16" x14ac:dyDescent="0.2"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</row>
    <row r="135" spans="3:16" x14ac:dyDescent="0.2"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</row>
    <row r="136" spans="3:16" x14ac:dyDescent="0.2"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</row>
    <row r="137" spans="3:16" x14ac:dyDescent="0.2"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</row>
    <row r="138" spans="3:16" x14ac:dyDescent="0.2"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</row>
    <row r="139" spans="3:16" x14ac:dyDescent="0.2"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</row>
    <row r="140" spans="3:16" x14ac:dyDescent="0.2"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</row>
    <row r="141" spans="3:16" x14ac:dyDescent="0.2"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</row>
    <row r="142" spans="3:16" x14ac:dyDescent="0.2"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</row>
    <row r="143" spans="3:16" x14ac:dyDescent="0.2"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</row>
    <row r="144" spans="3:16" x14ac:dyDescent="0.2"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</row>
    <row r="145" spans="3:15" x14ac:dyDescent="0.2"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</row>
    <row r="146" spans="3:15" x14ac:dyDescent="0.2"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</row>
    <row r="147" spans="3:15" x14ac:dyDescent="0.2"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</row>
    <row r="148" spans="3:15" x14ac:dyDescent="0.2"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</row>
    <row r="149" spans="3:15" x14ac:dyDescent="0.2"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</row>
    <row r="150" spans="3:15" x14ac:dyDescent="0.2"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</row>
    <row r="151" spans="3:15" x14ac:dyDescent="0.2"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</row>
    <row r="152" spans="3:15" x14ac:dyDescent="0.2"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</row>
    <row r="153" spans="3:15" x14ac:dyDescent="0.2"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</row>
    <row r="154" spans="3:15" x14ac:dyDescent="0.2"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</row>
    <row r="155" spans="3:15" x14ac:dyDescent="0.2"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</row>
    <row r="156" spans="3:15" x14ac:dyDescent="0.2"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</row>
    <row r="157" spans="3:15" x14ac:dyDescent="0.2"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</row>
    <row r="158" spans="3:15" x14ac:dyDescent="0.2"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</row>
    <row r="159" spans="3:15" x14ac:dyDescent="0.2"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</row>
    <row r="160" spans="3:15" x14ac:dyDescent="0.2"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</row>
    <row r="161" spans="3:15" x14ac:dyDescent="0.2"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</row>
    <row r="162" spans="3:15" x14ac:dyDescent="0.2"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</row>
    <row r="163" spans="3:15" x14ac:dyDescent="0.2"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</row>
    <row r="164" spans="3:15" x14ac:dyDescent="0.2"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</row>
    <row r="165" spans="3:15" x14ac:dyDescent="0.2"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</row>
    <row r="166" spans="3:15" x14ac:dyDescent="0.2"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</row>
    <row r="167" spans="3:15" x14ac:dyDescent="0.2"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</row>
    <row r="168" spans="3:15" x14ac:dyDescent="0.2"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</row>
  </sheetData>
  <phoneticPr fontId="3" type="noConversion"/>
  <conditionalFormatting sqref="D2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2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2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Database!$A$3:$A$297</xm:f>
          </x14:formula1>
          <xm:sqref>C23:C38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2:M23"/>
  <sheetViews>
    <sheetView workbookViewId="0">
      <selection activeCell="D48" sqref="D48"/>
    </sheetView>
  </sheetViews>
  <sheetFormatPr baseColWidth="10" defaultRowHeight="15" x14ac:dyDescent="0.2"/>
  <cols>
    <col min="1" max="1" width="27.6640625" bestFit="1" customWidth="1"/>
    <col min="2" max="2" width="7.5" style="4" bestFit="1" customWidth="1"/>
    <col min="3" max="3" width="23.83203125" style="4" bestFit="1" customWidth="1"/>
    <col min="4" max="4" width="6" style="4" bestFit="1" customWidth="1"/>
    <col min="5" max="11" width="8.6640625" style="4" customWidth="1"/>
    <col min="12" max="12" width="6.83203125" bestFit="1" customWidth="1"/>
    <col min="13" max="13" width="7" bestFit="1" customWidth="1"/>
  </cols>
  <sheetData>
    <row r="2" spans="1:13" ht="48" x14ac:dyDescent="0.2">
      <c r="B2" s="10" t="s">
        <v>26</v>
      </c>
      <c r="C2" s="10" t="s">
        <v>2</v>
      </c>
      <c r="D2" s="10" t="s">
        <v>23</v>
      </c>
      <c r="E2" s="10" t="s">
        <v>87</v>
      </c>
      <c r="F2" s="10" t="s">
        <v>88</v>
      </c>
      <c r="G2" s="10" t="s">
        <v>89</v>
      </c>
      <c r="H2" s="10" t="s">
        <v>90</v>
      </c>
      <c r="I2" s="10" t="s">
        <v>0</v>
      </c>
      <c r="J2" s="10" t="s">
        <v>91</v>
      </c>
      <c r="K2" s="10" t="s">
        <v>19</v>
      </c>
      <c r="L2" s="11"/>
      <c r="M2" s="11"/>
    </row>
    <row r="3" spans="1:13" x14ac:dyDescent="0.2">
      <c r="A3" t="str">
        <f t="shared" ref="A3:A23" si="0">CONCATENATE(B3,"-",C3)</f>
        <v>LDO-42STH60-2004AH</v>
      </c>
      <c r="B3" s="4" t="s">
        <v>28</v>
      </c>
      <c r="C3" s="5" t="s">
        <v>38</v>
      </c>
      <c r="D3" s="6">
        <v>17</v>
      </c>
      <c r="E3" s="9">
        <v>60</v>
      </c>
      <c r="F3" s="7">
        <v>1.8</v>
      </c>
      <c r="G3" s="8">
        <v>2</v>
      </c>
      <c r="H3" s="9">
        <f>8.5*9.8</f>
        <v>83.300000000000011</v>
      </c>
      <c r="I3" s="8">
        <v>3.3</v>
      </c>
      <c r="J3" s="8">
        <v>2</v>
      </c>
      <c r="K3" s="9">
        <v>102</v>
      </c>
    </row>
    <row r="4" spans="1:13" x14ac:dyDescent="0.2">
      <c r="A4" t="str">
        <f t="shared" si="0"/>
        <v>Moons-MS17HDBP4100</v>
      </c>
      <c r="B4" s="4" t="s">
        <v>30</v>
      </c>
      <c r="C4" s="5" t="s">
        <v>50</v>
      </c>
      <c r="D4" s="6">
        <v>17</v>
      </c>
      <c r="E4" s="9">
        <v>62.8</v>
      </c>
      <c r="F4" s="7">
        <v>1.8</v>
      </c>
      <c r="G4" s="8">
        <v>1</v>
      </c>
      <c r="H4" s="9">
        <v>82</v>
      </c>
      <c r="I4" s="8">
        <v>14.6</v>
      </c>
      <c r="J4" s="8">
        <v>5.6</v>
      </c>
      <c r="K4" s="9">
        <v>123</v>
      </c>
    </row>
    <row r="5" spans="1:13" x14ac:dyDescent="0.2">
      <c r="A5" t="str">
        <f t="shared" si="0"/>
        <v>OMC-17HS19-2004</v>
      </c>
      <c r="B5" s="4" t="s">
        <v>27</v>
      </c>
      <c r="C5" s="5" t="s">
        <v>32</v>
      </c>
      <c r="D5" s="6">
        <v>17</v>
      </c>
      <c r="E5" s="9">
        <v>48</v>
      </c>
      <c r="F5" s="7">
        <v>1.8</v>
      </c>
      <c r="G5" s="8">
        <v>2</v>
      </c>
      <c r="H5" s="9">
        <v>59</v>
      </c>
      <c r="I5" s="8">
        <v>3</v>
      </c>
      <c r="J5" s="8">
        <v>1.4</v>
      </c>
      <c r="K5" s="9">
        <v>82</v>
      </c>
    </row>
    <row r="6" spans="1:13" x14ac:dyDescent="0.2">
      <c r="A6" t="str">
        <f t="shared" si="0"/>
        <v>LDO-42STH60-2004MAC (Railcore)</v>
      </c>
      <c r="B6" s="4" t="s">
        <v>28</v>
      </c>
      <c r="C6" s="5" t="s">
        <v>40</v>
      </c>
      <c r="D6" s="6">
        <v>17</v>
      </c>
      <c r="E6" s="9">
        <v>60</v>
      </c>
      <c r="F6" s="7">
        <v>0.9</v>
      </c>
      <c r="G6" s="8">
        <v>2</v>
      </c>
      <c r="H6" s="9">
        <f>6*9.8</f>
        <v>58.800000000000004</v>
      </c>
      <c r="I6" s="8">
        <v>3</v>
      </c>
      <c r="J6" s="8">
        <v>1.4</v>
      </c>
      <c r="K6" s="9">
        <v>120</v>
      </c>
    </row>
    <row r="7" spans="1:13" x14ac:dyDescent="0.2">
      <c r="A7" t="str">
        <f t="shared" si="0"/>
        <v>LDO-42STH48-2004AC (VRN)</v>
      </c>
      <c r="B7" s="4" t="s">
        <v>28</v>
      </c>
      <c r="C7" s="5" t="s">
        <v>41</v>
      </c>
      <c r="D7" s="6">
        <v>17</v>
      </c>
      <c r="E7" s="9">
        <v>48</v>
      </c>
      <c r="F7" s="7">
        <v>1.8</v>
      </c>
      <c r="G7" s="8">
        <v>2</v>
      </c>
      <c r="H7" s="9">
        <f>5.9*9.8</f>
        <v>57.820000000000007</v>
      </c>
      <c r="I7" s="8">
        <v>3</v>
      </c>
      <c r="J7" s="8">
        <v>1.6</v>
      </c>
      <c r="K7" s="9">
        <v>85</v>
      </c>
    </row>
    <row r="8" spans="1:13" x14ac:dyDescent="0.2">
      <c r="A8" t="str">
        <f t="shared" si="0"/>
        <v>LDO-42STH47-1684AC</v>
      </c>
      <c r="B8" s="4" t="s">
        <v>28</v>
      </c>
      <c r="C8" s="5" t="s">
        <v>36</v>
      </c>
      <c r="D8" s="6">
        <v>17</v>
      </c>
      <c r="E8" s="9">
        <v>48</v>
      </c>
      <c r="F8" s="7">
        <v>1.8</v>
      </c>
      <c r="G8" s="8">
        <v>1.68</v>
      </c>
      <c r="H8" s="9">
        <f>9.8*5</f>
        <v>49</v>
      </c>
      <c r="I8" s="8">
        <v>2.8</v>
      </c>
      <c r="J8" s="8">
        <v>1.65</v>
      </c>
      <c r="K8" s="9">
        <v>68</v>
      </c>
    </row>
    <row r="9" spans="1:13" x14ac:dyDescent="0.2">
      <c r="A9" t="str">
        <f t="shared" si="0"/>
        <v>OMC-17HM19-2004S</v>
      </c>
      <c r="B9" s="4" t="s">
        <v>27</v>
      </c>
      <c r="C9" s="5" t="s">
        <v>34</v>
      </c>
      <c r="D9" s="6">
        <v>17</v>
      </c>
      <c r="E9" s="9">
        <v>48</v>
      </c>
      <c r="F9" s="7">
        <v>0.9</v>
      </c>
      <c r="G9" s="8">
        <v>2</v>
      </c>
      <c r="H9" s="9">
        <v>46</v>
      </c>
      <c r="I9" s="8">
        <v>3</v>
      </c>
      <c r="J9" s="8">
        <v>1.45</v>
      </c>
      <c r="K9" s="9">
        <v>82</v>
      </c>
    </row>
    <row r="10" spans="1:13" x14ac:dyDescent="0.2">
      <c r="A10" t="str">
        <f t="shared" si="0"/>
        <v>OMC-17HS16-2004S1</v>
      </c>
      <c r="B10" s="4" t="s">
        <v>27</v>
      </c>
      <c r="C10" s="5" t="s">
        <v>33</v>
      </c>
      <c r="D10" s="6">
        <v>17</v>
      </c>
      <c r="E10" s="9">
        <v>40</v>
      </c>
      <c r="F10" s="7">
        <v>1.8</v>
      </c>
      <c r="G10" s="8">
        <v>2</v>
      </c>
      <c r="H10" s="9">
        <v>45</v>
      </c>
      <c r="I10" s="8">
        <v>2.6</v>
      </c>
      <c r="J10" s="8">
        <v>1.1000000000000001</v>
      </c>
      <c r="K10" s="9">
        <v>54</v>
      </c>
    </row>
    <row r="11" spans="1:13" x14ac:dyDescent="0.2">
      <c r="A11" t="str">
        <f t="shared" si="0"/>
        <v>OMC-17HM19-1684S</v>
      </c>
      <c r="B11" s="4" t="s">
        <v>27</v>
      </c>
      <c r="C11" s="5" t="s">
        <v>35</v>
      </c>
      <c r="D11" s="6">
        <v>17</v>
      </c>
      <c r="E11" s="9">
        <v>48</v>
      </c>
      <c r="F11" s="7">
        <v>0.9</v>
      </c>
      <c r="G11" s="8">
        <v>1.68</v>
      </c>
      <c r="H11" s="9">
        <v>44</v>
      </c>
      <c r="I11" s="8">
        <v>4.0999999999999996</v>
      </c>
      <c r="J11" s="8">
        <v>1.65</v>
      </c>
      <c r="K11" s="9">
        <v>68</v>
      </c>
    </row>
    <row r="12" spans="1:13" x14ac:dyDescent="0.2">
      <c r="A12" t="str">
        <f t="shared" si="0"/>
        <v>Nanotec-ST4209L1704-A</v>
      </c>
      <c r="B12" s="4" t="s">
        <v>29</v>
      </c>
      <c r="C12" s="5" t="s">
        <v>42</v>
      </c>
      <c r="D12" s="6">
        <v>17</v>
      </c>
      <c r="E12" s="9">
        <v>47.5</v>
      </c>
      <c r="F12" s="7">
        <v>0.9</v>
      </c>
      <c r="G12" s="8">
        <v>1.68</v>
      </c>
      <c r="H12" s="9">
        <f>44</f>
        <v>44</v>
      </c>
      <c r="I12" s="8">
        <v>5</v>
      </c>
      <c r="J12" s="8">
        <v>1.8</v>
      </c>
      <c r="K12" s="9">
        <v>68</v>
      </c>
    </row>
    <row r="13" spans="1:13" x14ac:dyDescent="0.2">
      <c r="A13" t="str">
        <f t="shared" si="0"/>
        <v>Motech-MT-1704HSM168RE</v>
      </c>
      <c r="B13" s="4" t="s">
        <v>31</v>
      </c>
      <c r="C13" s="5" t="s">
        <v>45</v>
      </c>
      <c r="D13" s="6">
        <v>17</v>
      </c>
      <c r="E13" s="9">
        <v>48</v>
      </c>
      <c r="F13" s="7">
        <v>0.9</v>
      </c>
      <c r="G13" s="8">
        <v>1.68</v>
      </c>
      <c r="H13" s="9">
        <f>4.4*9.8</f>
        <v>43.120000000000005</v>
      </c>
      <c r="I13" s="8">
        <v>2.8</v>
      </c>
      <c r="J13" s="8">
        <v>1.65</v>
      </c>
      <c r="K13" s="9">
        <v>68</v>
      </c>
    </row>
    <row r="14" spans="1:13" x14ac:dyDescent="0.2">
      <c r="A14" t="str">
        <f t="shared" si="0"/>
        <v>OMC-14HS20-1504S</v>
      </c>
      <c r="B14" s="4" t="s">
        <v>27</v>
      </c>
      <c r="C14" s="5" t="s">
        <v>47</v>
      </c>
      <c r="D14" s="6">
        <v>14</v>
      </c>
      <c r="E14" s="9">
        <v>52</v>
      </c>
      <c r="F14" s="7">
        <v>1.8</v>
      </c>
      <c r="G14" s="8">
        <v>1.5</v>
      </c>
      <c r="H14" s="9">
        <v>40</v>
      </c>
      <c r="I14" s="8">
        <v>3.8</v>
      </c>
      <c r="J14" s="8">
        <v>2.8</v>
      </c>
      <c r="K14" s="9">
        <v>54</v>
      </c>
    </row>
    <row r="15" spans="1:13" x14ac:dyDescent="0.2">
      <c r="A15" t="str">
        <f t="shared" si="0"/>
        <v>LDO-42STH48-1684MAH</v>
      </c>
      <c r="B15" s="4" t="s">
        <v>28</v>
      </c>
      <c r="C15" s="5" t="s">
        <v>37</v>
      </c>
      <c r="D15" s="6">
        <v>17</v>
      </c>
      <c r="E15" s="9">
        <v>48</v>
      </c>
      <c r="F15" s="7">
        <v>0.9</v>
      </c>
      <c r="G15" s="8">
        <v>1.68</v>
      </c>
      <c r="H15" s="9">
        <f>4*9.8</f>
        <v>39.200000000000003</v>
      </c>
      <c r="I15" s="8">
        <v>2.8</v>
      </c>
      <c r="J15" s="8">
        <v>1.65</v>
      </c>
      <c r="K15" s="9">
        <v>68</v>
      </c>
    </row>
    <row r="16" spans="1:13" x14ac:dyDescent="0.2">
      <c r="A16" t="str">
        <f t="shared" si="0"/>
        <v>Moons-MS17HA2P4200</v>
      </c>
      <c r="B16" s="4" t="s">
        <v>30</v>
      </c>
      <c r="C16" s="5" t="s">
        <v>43</v>
      </c>
      <c r="D16" s="6">
        <v>17</v>
      </c>
      <c r="E16" s="9">
        <v>39.799999999999997</v>
      </c>
      <c r="F16" s="7">
        <v>0.9</v>
      </c>
      <c r="G16" s="8">
        <v>2</v>
      </c>
      <c r="H16" s="9">
        <f>39</f>
        <v>39</v>
      </c>
      <c r="I16" s="8">
        <v>2.8</v>
      </c>
      <c r="J16" s="8">
        <v>1.05</v>
      </c>
      <c r="K16" s="9">
        <v>57</v>
      </c>
    </row>
    <row r="17" spans="1:11" x14ac:dyDescent="0.2">
      <c r="A17" t="str">
        <f t="shared" si="0"/>
        <v>LDO-42STH40-2004MAH(VRN)</v>
      </c>
      <c r="B17" s="4" t="s">
        <v>28</v>
      </c>
      <c r="C17" s="5" t="s">
        <v>44</v>
      </c>
      <c r="D17" s="6">
        <v>17</v>
      </c>
      <c r="E17" s="9">
        <v>40</v>
      </c>
      <c r="F17" s="7">
        <v>0.9</v>
      </c>
      <c r="G17" s="8">
        <v>2</v>
      </c>
      <c r="H17" s="9">
        <v>35</v>
      </c>
      <c r="I17" s="8">
        <v>2.8</v>
      </c>
      <c r="J17" s="8">
        <v>1.1000000000000001</v>
      </c>
      <c r="K17" s="9">
        <v>71</v>
      </c>
    </row>
    <row r="18" spans="1:11" x14ac:dyDescent="0.2">
      <c r="A18" t="str">
        <f t="shared" si="0"/>
        <v>LDO-42STH38-1684MAC</v>
      </c>
      <c r="B18" s="4" t="s">
        <v>28</v>
      </c>
      <c r="C18" s="5" t="s">
        <v>39</v>
      </c>
      <c r="D18" s="6">
        <v>17</v>
      </c>
      <c r="E18" s="9">
        <v>40</v>
      </c>
      <c r="F18" s="7">
        <v>0.9</v>
      </c>
      <c r="G18" s="8">
        <v>1.68</v>
      </c>
      <c r="H18" s="9">
        <f>3.3*9.8</f>
        <v>32.340000000000003</v>
      </c>
      <c r="I18" s="8">
        <v>3.2</v>
      </c>
      <c r="J18" s="8">
        <v>1.65</v>
      </c>
      <c r="K18" s="9">
        <v>54</v>
      </c>
    </row>
    <row r="19" spans="1:11" x14ac:dyDescent="0.2">
      <c r="A19" t="str">
        <f t="shared" si="0"/>
        <v>OMC-17HS13-0404S1</v>
      </c>
      <c r="B19" s="4" t="s">
        <v>27</v>
      </c>
      <c r="C19" s="5" t="s">
        <v>48</v>
      </c>
      <c r="D19" s="6">
        <v>17</v>
      </c>
      <c r="E19" s="9">
        <v>34</v>
      </c>
      <c r="F19" s="7">
        <v>1.8</v>
      </c>
      <c r="G19" s="8">
        <v>0.4</v>
      </c>
      <c r="H19" s="9">
        <v>26</v>
      </c>
      <c r="I19" s="8">
        <v>37</v>
      </c>
      <c r="J19" s="8">
        <v>30</v>
      </c>
      <c r="K19" s="9">
        <v>38</v>
      </c>
    </row>
    <row r="20" spans="1:11" x14ac:dyDescent="0.2">
      <c r="A20" t="str">
        <f t="shared" si="0"/>
        <v>OMC-14HS17-0504S</v>
      </c>
      <c r="B20" s="4" t="s">
        <v>27</v>
      </c>
      <c r="C20" s="5" t="s">
        <v>46</v>
      </c>
      <c r="D20" s="6">
        <v>14</v>
      </c>
      <c r="E20" s="9">
        <v>42</v>
      </c>
      <c r="F20" s="7">
        <v>1.8</v>
      </c>
      <c r="G20" s="8">
        <v>0.5</v>
      </c>
      <c r="H20" s="9">
        <v>23</v>
      </c>
      <c r="I20" s="8">
        <v>26</v>
      </c>
      <c r="J20" s="8">
        <v>15</v>
      </c>
      <c r="K20" s="9">
        <v>18</v>
      </c>
    </row>
    <row r="21" spans="1:11" x14ac:dyDescent="0.2">
      <c r="A21" t="str">
        <f t="shared" si="0"/>
        <v>Moons-MS14HA3P4150</v>
      </c>
      <c r="B21" s="4" t="s">
        <v>30</v>
      </c>
      <c r="C21" s="5" t="s">
        <v>24</v>
      </c>
      <c r="D21" s="6">
        <v>14</v>
      </c>
      <c r="E21" s="9">
        <v>36</v>
      </c>
      <c r="F21" s="7">
        <v>0.9</v>
      </c>
      <c r="G21" s="8">
        <v>1.5</v>
      </c>
      <c r="H21" s="9">
        <f>0.18*100</f>
        <v>18</v>
      </c>
      <c r="I21" s="8">
        <v>2.2000000000000002</v>
      </c>
      <c r="J21" s="8">
        <v>1.61</v>
      </c>
      <c r="K21" s="9">
        <v>20</v>
      </c>
    </row>
    <row r="22" spans="1:11" x14ac:dyDescent="0.2">
      <c r="A22" t="str">
        <f t="shared" si="0"/>
        <v>OMC-14HS13-0804S</v>
      </c>
      <c r="B22" s="4" t="s">
        <v>27</v>
      </c>
      <c r="C22" s="5" t="s">
        <v>51</v>
      </c>
      <c r="D22" s="6">
        <v>14</v>
      </c>
      <c r="E22" s="9">
        <v>34</v>
      </c>
      <c r="F22" s="7">
        <v>1.8</v>
      </c>
      <c r="G22" s="8">
        <v>0.8</v>
      </c>
      <c r="H22" s="9">
        <v>18</v>
      </c>
      <c r="I22" s="8">
        <v>10</v>
      </c>
      <c r="J22" s="8">
        <v>6.8</v>
      </c>
      <c r="K22" s="9">
        <v>14</v>
      </c>
    </row>
    <row r="23" spans="1:11" x14ac:dyDescent="0.2">
      <c r="A23" t="str">
        <f t="shared" si="0"/>
        <v>Moons-MS14HA1P4150</v>
      </c>
      <c r="B23" s="4" t="s">
        <v>30</v>
      </c>
      <c r="C23" s="5" t="s">
        <v>49</v>
      </c>
      <c r="D23" s="6">
        <v>14</v>
      </c>
      <c r="E23" s="9">
        <v>27</v>
      </c>
      <c r="F23" s="7">
        <v>0.9</v>
      </c>
      <c r="G23" s="8">
        <v>1.5</v>
      </c>
      <c r="H23" s="9">
        <v>10.5</v>
      </c>
      <c r="I23" s="8">
        <v>1.8</v>
      </c>
      <c r="J23" s="8">
        <v>1.55</v>
      </c>
      <c r="K23" s="9">
        <v>12</v>
      </c>
    </row>
  </sheetData>
  <autoFilter ref="A2:K23" xr:uid="{DC8CD7A3-AC7A-554B-BA5B-0C80B0CC0D30}">
    <sortState xmlns:xlrd2="http://schemas.microsoft.com/office/spreadsheetml/2017/richdata2" ref="A3:K23">
      <sortCondition descending="1" ref="H2:H23"/>
    </sortState>
  </autoFilter>
  <conditionalFormatting sqref="F3:F15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3:F23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I3:I1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2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2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2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2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2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:G23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3</vt:i4>
      </vt:variant>
    </vt:vector>
  </HeadingPairs>
  <TitlesOfParts>
    <vt:vector size="5" baseType="lpstr">
      <vt:lpstr>UI</vt:lpstr>
      <vt:lpstr>Database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Microsoft Office User</cp:lastModifiedBy>
  <cp:revision/>
  <dcterms:created xsi:type="dcterms:W3CDTF">2020-01-03T20:05:09Z</dcterms:created>
  <dcterms:modified xsi:type="dcterms:W3CDTF">2021-04-18T21:38:46Z</dcterms:modified>
  <cp:category/>
  <cp:contentStatus/>
</cp:coreProperties>
</file>