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59DD3843-489A-8D40-B00C-43BF5D2115EB}" xr6:coauthVersionLast="47" xr6:coauthVersionMax="47" xr10:uidLastSave="{00000000-0000-0000-0000-000000000000}"/>
  <bookViews>
    <workbookView xWindow="0" yWindow="460" windowWidth="38360" windowHeight="23540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0" l="1"/>
  <c r="A10" i="29"/>
  <c r="A21" i="29"/>
  <c r="A22" i="29"/>
  <c r="A8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4" i="29" l="1"/>
  <c r="O5" i="29"/>
  <c r="A39" i="29"/>
  <c r="A6" i="29"/>
  <c r="A7" i="29"/>
  <c r="A5" i="29"/>
  <c r="A3" i="29"/>
  <c r="A4" i="29"/>
  <c r="A43" i="29"/>
  <c r="H17" i="29"/>
  <c r="A17" i="29"/>
  <c r="A20" i="29"/>
  <c r="H25" i="29"/>
  <c r="A25" i="29"/>
  <c r="A13" i="29"/>
  <c r="A11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3" i="29"/>
  <c r="A9" i="29"/>
  <c r="A42" i="29"/>
  <c r="A41" i="29"/>
  <c r="A38" i="29"/>
  <c r="A37" i="29"/>
  <c r="A16" i="29"/>
  <c r="A18" i="29"/>
  <c r="A23" i="29"/>
  <c r="A12" i="29"/>
  <c r="A24" i="29"/>
  <c r="A19" i="29"/>
  <c r="A32" i="29"/>
  <c r="A29" i="29"/>
  <c r="A15" i="29"/>
  <c r="A31" i="29"/>
  <c r="A35" i="29"/>
  <c r="A36" i="29"/>
  <c r="A27" i="29"/>
  <c r="A40" i="29"/>
  <c r="A26" i="29"/>
  <c r="A30" i="29"/>
  <c r="A34" i="29"/>
  <c r="A28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M18" i="30" s="1"/>
  <c r="O18" i="30" s="1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4" i="30" l="1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E3" i="30"/>
  <c r="AU4" i="30"/>
  <c r="AR4" i="30"/>
  <c r="AL5" i="30"/>
  <c r="AZ4" i="30"/>
  <c r="AV3" i="30"/>
  <c r="X3" i="30"/>
  <c r="AO5" i="30"/>
  <c r="AD3" i="30"/>
  <c r="AN4" i="30"/>
  <c r="AM5" i="30"/>
  <c r="AY3" i="30"/>
  <c r="AZ5" i="30"/>
  <c r="AY5" i="30"/>
  <c r="AK3" i="30"/>
  <c r="Y3" i="30"/>
  <c r="AY4" i="30"/>
  <c r="AO3" i="30"/>
  <c r="AW5" i="30"/>
  <c r="AX3" i="30"/>
  <c r="AL4" i="30"/>
  <c r="AT4" i="30"/>
  <c r="AK4" i="30"/>
  <c r="AQ4" i="30"/>
  <c r="U3" i="30"/>
  <c r="AP4" i="30"/>
  <c r="AG3" i="30"/>
  <c r="AV4" i="30"/>
  <c r="AR3" i="30"/>
  <c r="T3" i="30"/>
  <c r="AK5" i="30"/>
  <c r="AS3" i="30"/>
  <c r="AP3" i="30"/>
  <c r="Z3" i="30"/>
  <c r="AC3" i="30"/>
  <c r="AS4" i="30"/>
  <c r="AO4" i="30"/>
  <c r="AX4" i="30"/>
  <c r="V3" i="30"/>
  <c r="AU3" i="30"/>
  <c r="AM3" i="30"/>
  <c r="AR5" i="30"/>
  <c r="AT5" i="30"/>
  <c r="AB3" i="30"/>
  <c r="AV5" i="30"/>
  <c r="AW4" i="30"/>
  <c r="R3" i="30"/>
  <c r="AW3" i="30"/>
  <c r="AX5" i="30"/>
  <c r="AQ3" i="30"/>
  <c r="AN5" i="30"/>
  <c r="W3" i="30"/>
  <c r="AF3" i="30"/>
  <c r="AT3" i="30"/>
  <c r="AN3" i="30"/>
  <c r="S5" i="30"/>
  <c r="AP5" i="30"/>
  <c r="S3" i="30"/>
  <c r="AM4" i="30"/>
  <c r="AZ3" i="30"/>
  <c r="AQ5" i="30"/>
  <c r="AU5" i="30"/>
  <c r="AS5" i="30"/>
  <c r="AA3" i="30"/>
  <c r="AL3" i="30"/>
  <c r="Q5" i="30" l="1"/>
  <c r="AJ5" i="30" s="1"/>
  <c r="S4" i="30"/>
  <c r="AG4" i="30"/>
  <c r="AR6" i="30"/>
  <c r="AF5" i="30"/>
  <c r="R5" i="30"/>
  <c r="V4" i="30"/>
  <c r="X4" i="30"/>
  <c r="AC4" i="30"/>
  <c r="Z6" i="30"/>
  <c r="AD5" i="30"/>
  <c r="AX6" i="30"/>
  <c r="AC5" i="30"/>
  <c r="Z4" i="30"/>
  <c r="AP6" i="30"/>
  <c r="X6" i="30"/>
  <c r="AF6" i="30"/>
  <c r="AE4" i="30"/>
  <c r="AB5" i="30"/>
  <c r="AS6" i="30"/>
  <c r="AT6" i="30"/>
  <c r="Y6" i="30"/>
  <c r="X5" i="30"/>
  <c r="W4" i="30"/>
  <c r="V6" i="30"/>
  <c r="AD6" i="30"/>
  <c r="AA5" i="30"/>
  <c r="T6" i="30"/>
  <c r="AG6" i="30"/>
  <c r="AB6" i="30"/>
  <c r="U5" i="30"/>
  <c r="AA6" i="30"/>
  <c r="AQ6" i="30"/>
  <c r="AE6" i="30"/>
  <c r="AY6" i="30"/>
  <c r="AF4" i="30"/>
  <c r="R4" i="30"/>
  <c r="AE5" i="30"/>
  <c r="AU6" i="30"/>
  <c r="T5" i="30"/>
  <c r="AV6" i="30"/>
  <c r="AW6" i="30"/>
  <c r="W6" i="30"/>
  <c r="AD4" i="30"/>
  <c r="AM6" i="30"/>
  <c r="AA4" i="30"/>
  <c r="AB4" i="30"/>
  <c r="U4" i="30"/>
  <c r="R6" i="30"/>
  <c r="AK6" i="30"/>
  <c r="AL6" i="30"/>
  <c r="Z5" i="30"/>
  <c r="AZ6" i="30"/>
  <c r="T4" i="30"/>
  <c r="AN6" i="30"/>
  <c r="V5" i="30"/>
  <c r="S6" i="30"/>
  <c r="U6" i="30"/>
  <c r="AC6" i="30"/>
  <c r="AG5" i="30"/>
  <c r="AO6" i="30"/>
  <c r="Y4" i="30"/>
  <c r="Y5" i="30"/>
  <c r="W5" i="30"/>
  <c r="Q6" i="30" l="1"/>
  <c r="AJ6" i="30" s="1"/>
  <c r="AK7" i="30"/>
  <c r="AL7" i="30"/>
  <c r="AQ7" i="30"/>
  <c r="T7" i="30"/>
  <c r="Y7" i="30"/>
  <c r="Z7" i="30"/>
  <c r="X7" i="30"/>
  <c r="AA7" i="30"/>
  <c r="AF7" i="30"/>
  <c r="AG7" i="30"/>
  <c r="U7" i="30"/>
  <c r="AS7" i="30"/>
  <c r="AV7" i="30"/>
  <c r="S7" i="30"/>
  <c r="AZ7" i="30"/>
  <c r="AC7" i="30"/>
  <c r="AR7" i="30"/>
  <c r="AY7" i="30"/>
  <c r="R7" i="30"/>
  <c r="AW7" i="30"/>
  <c r="AD7" i="30"/>
  <c r="AT7" i="30"/>
  <c r="AX7" i="30"/>
  <c r="AN7" i="30"/>
  <c r="AU7" i="30"/>
  <c r="AO7" i="30"/>
  <c r="AE7" i="30"/>
  <c r="AP7" i="30"/>
  <c r="AB7" i="30"/>
  <c r="AM7" i="30"/>
  <c r="V7" i="30"/>
  <c r="W7" i="30"/>
  <c r="Q7" i="30" l="1"/>
  <c r="AJ7" i="30" s="1"/>
  <c r="AT8" i="30"/>
  <c r="AD8" i="30"/>
  <c r="W8" i="30"/>
  <c r="AM8" i="30"/>
  <c r="AS8" i="30"/>
  <c r="AE8" i="30"/>
  <c r="AG8" i="30"/>
  <c r="AP8" i="30"/>
  <c r="AY8" i="30"/>
  <c r="Z8" i="30"/>
  <c r="T8" i="30"/>
  <c r="AB8" i="30"/>
  <c r="S8" i="30"/>
  <c r="AK8" i="30"/>
  <c r="AR8" i="30"/>
  <c r="AQ8" i="30"/>
  <c r="AL8" i="30"/>
  <c r="AZ8" i="30"/>
  <c r="X8" i="30"/>
  <c r="R8" i="30"/>
  <c r="AU8" i="30"/>
  <c r="AV8" i="30"/>
  <c r="V8" i="30"/>
  <c r="AW8" i="30"/>
  <c r="AF8" i="30"/>
  <c r="AC8" i="30"/>
  <c r="AN8" i="30"/>
  <c r="U8" i="30"/>
  <c r="Y8" i="30"/>
  <c r="AA8" i="30"/>
  <c r="AX8" i="30"/>
  <c r="AO8" i="30"/>
  <c r="Q8" i="30" l="1"/>
  <c r="AJ8" i="30" s="1"/>
  <c r="AT9" i="30"/>
  <c r="AU9" i="30"/>
  <c r="AN9" i="30"/>
  <c r="T9" i="30"/>
  <c r="AE9" i="30"/>
  <c r="AD9" i="30"/>
  <c r="X9" i="30"/>
  <c r="AB9" i="30"/>
  <c r="Z9" i="30"/>
  <c r="AX9" i="30"/>
  <c r="AR9" i="30"/>
  <c r="AG9" i="30"/>
  <c r="AK9" i="30"/>
  <c r="AY9" i="30"/>
  <c r="AM9" i="30"/>
  <c r="AP9" i="30"/>
  <c r="AS9" i="30"/>
  <c r="AZ9" i="30"/>
  <c r="R9" i="30"/>
  <c r="U9" i="30"/>
  <c r="AV9" i="30"/>
  <c r="S9" i="30"/>
  <c r="AA9" i="30"/>
  <c r="Y9" i="30"/>
  <c r="W9" i="30"/>
  <c r="AO9" i="30"/>
  <c r="AQ9" i="30"/>
  <c r="AL9" i="30"/>
  <c r="AW9" i="30"/>
  <c r="AC9" i="30"/>
  <c r="V9" i="30"/>
  <c r="AF9" i="30"/>
  <c r="Q9" i="30" l="1"/>
  <c r="AJ9" i="30" s="1"/>
  <c r="AR10" i="30"/>
  <c r="AX10" i="30"/>
  <c r="AM10" i="30"/>
  <c r="U10" i="30"/>
  <c r="AC10" i="30"/>
  <c r="Y10" i="30"/>
  <c r="AO10" i="30"/>
  <c r="T10" i="30"/>
  <c r="AZ10" i="30"/>
  <c r="AS10" i="30"/>
  <c r="AA10" i="30"/>
  <c r="AT10" i="30"/>
  <c r="AY10" i="30"/>
  <c r="AF10" i="30"/>
  <c r="AD10" i="30"/>
  <c r="AQ10" i="30"/>
  <c r="Z10" i="30"/>
  <c r="X10" i="30"/>
  <c r="AN10" i="30"/>
  <c r="AG10" i="30"/>
  <c r="AL10" i="30"/>
  <c r="S10" i="30"/>
  <c r="AW10" i="30"/>
  <c r="AV10" i="30"/>
  <c r="AB10" i="30"/>
  <c r="AU10" i="30"/>
  <c r="AE10" i="30"/>
  <c r="AP10" i="30"/>
  <c r="W10" i="30"/>
  <c r="AK10" i="30"/>
  <c r="V10" i="30"/>
  <c r="R10" i="30"/>
  <c r="Q10" i="30" l="1"/>
  <c r="AJ10" i="30" s="1"/>
  <c r="AT11" i="30"/>
  <c r="R11" i="30"/>
  <c r="AM11" i="30"/>
  <c r="AO11" i="30"/>
  <c r="AD11" i="30"/>
  <c r="AY11" i="30"/>
  <c r="S11" i="30"/>
  <c r="V11" i="30"/>
  <c r="AC11" i="30"/>
  <c r="AZ11" i="30"/>
  <c r="AL11" i="30"/>
  <c r="Y11" i="30"/>
  <c r="AK11" i="30"/>
  <c r="W11" i="30"/>
  <c r="AS11" i="30"/>
  <c r="AP11" i="30"/>
  <c r="AR11" i="30"/>
  <c r="Z11" i="30"/>
  <c r="AW11" i="30"/>
  <c r="AN11" i="30"/>
  <c r="AX11" i="30"/>
  <c r="AV11" i="30"/>
  <c r="T11" i="30"/>
  <c r="AU11" i="30"/>
  <c r="AA11" i="30"/>
  <c r="AG11" i="30"/>
  <c r="X11" i="30"/>
  <c r="AE11" i="30"/>
  <c r="AF11" i="30"/>
  <c r="AQ11" i="30"/>
  <c r="AB11" i="30"/>
  <c r="U11" i="30"/>
  <c r="Q11" i="30" l="1"/>
  <c r="AJ11" i="30" s="1"/>
  <c r="AZ12" i="30"/>
  <c r="AF12" i="30"/>
  <c r="AO12" i="30"/>
  <c r="W12" i="30"/>
  <c r="Z12" i="30"/>
  <c r="AQ12" i="30"/>
  <c r="AD12" i="30"/>
  <c r="AP12" i="30"/>
  <c r="AS12" i="30"/>
  <c r="V12" i="30"/>
  <c r="AE12" i="30"/>
  <c r="AN12" i="30"/>
  <c r="R12" i="30"/>
  <c r="T12" i="30"/>
  <c r="AX12" i="30"/>
  <c r="X12" i="30"/>
  <c r="AK12" i="30"/>
  <c r="AA12" i="30"/>
  <c r="AR12" i="30"/>
  <c r="U12" i="30"/>
  <c r="AU12" i="30"/>
  <c r="AT12" i="30"/>
  <c r="AW12" i="30"/>
  <c r="AL12" i="30"/>
  <c r="S12" i="30"/>
  <c r="AV12" i="30"/>
  <c r="AY12" i="30"/>
  <c r="AG12" i="30"/>
  <c r="AC12" i="30"/>
  <c r="AB12" i="30"/>
  <c r="Y12" i="30"/>
  <c r="AM12" i="30"/>
  <c r="Q12" i="30" l="1"/>
  <c r="AJ12" i="30" s="1"/>
  <c r="AY13" i="30"/>
  <c r="AT13" i="30"/>
  <c r="AN13" i="30"/>
  <c r="AP13" i="30"/>
  <c r="AF13" i="30"/>
  <c r="X13" i="30"/>
  <c r="Y13" i="30"/>
  <c r="AQ13" i="30"/>
  <c r="AV13" i="30"/>
  <c r="W13" i="30"/>
  <c r="AC13" i="30"/>
  <c r="T13" i="30"/>
  <c r="AG13" i="30"/>
  <c r="U13" i="30"/>
  <c r="AU13" i="30"/>
  <c r="V13" i="30"/>
  <c r="AR13" i="30"/>
  <c r="AL13" i="30"/>
  <c r="AK13" i="30"/>
  <c r="AO13" i="30"/>
  <c r="Z13" i="30"/>
  <c r="AA13" i="30"/>
  <c r="AX13" i="30"/>
  <c r="AZ13" i="30"/>
  <c r="AW13" i="30"/>
  <c r="S13" i="30"/>
  <c r="AE13" i="30"/>
  <c r="AD13" i="30"/>
  <c r="AS13" i="30"/>
  <c r="R13" i="30"/>
  <c r="AB13" i="30"/>
  <c r="AM13" i="30"/>
  <c r="Q13" i="30" l="1"/>
  <c r="AJ13" i="30" s="1"/>
  <c r="Z14" i="30"/>
  <c r="AW14" i="30"/>
  <c r="AN14" i="30"/>
  <c r="AO14" i="30"/>
  <c r="AY14" i="30"/>
  <c r="AL14" i="30"/>
  <c r="X14" i="30"/>
  <c r="S14" i="30"/>
  <c r="AC14" i="30"/>
  <c r="AU14" i="30"/>
  <c r="AF14" i="30"/>
  <c r="Y14" i="30"/>
  <c r="AP14" i="30"/>
  <c r="AX14" i="30"/>
  <c r="AA14" i="30"/>
  <c r="AV14" i="30"/>
  <c r="AS14" i="30"/>
  <c r="AZ14" i="30"/>
  <c r="V14" i="30"/>
  <c r="AT14" i="30"/>
  <c r="AK14" i="30"/>
  <c r="AR14" i="30"/>
  <c r="W14" i="30"/>
  <c r="AD14" i="30"/>
  <c r="AE14" i="30"/>
  <c r="AG14" i="30"/>
  <c r="AB14" i="30"/>
  <c r="T14" i="30"/>
  <c r="R14" i="30"/>
  <c r="AM14" i="30"/>
  <c r="AQ14" i="30"/>
  <c r="U14" i="30"/>
  <c r="Q14" i="30" l="1"/>
  <c r="AJ14" i="30" s="1"/>
  <c r="AA15" i="30"/>
  <c r="S15" i="30"/>
  <c r="AP15" i="30"/>
  <c r="AN15" i="30"/>
  <c r="AF15" i="30"/>
  <c r="AG15" i="30"/>
  <c r="AZ15" i="30"/>
  <c r="Y15" i="30"/>
  <c r="AE15" i="30"/>
  <c r="AT15" i="30"/>
  <c r="AC15" i="30"/>
  <c r="AK15" i="30"/>
  <c r="AS15" i="30"/>
  <c r="X15" i="30"/>
  <c r="U15" i="30"/>
  <c r="AR15" i="30"/>
  <c r="AV15" i="30"/>
  <c r="AU15" i="30"/>
  <c r="AY15" i="30"/>
  <c r="AQ15" i="30"/>
  <c r="AB15" i="30"/>
  <c r="AX15" i="30"/>
  <c r="AD15" i="30"/>
  <c r="AO15" i="30"/>
  <c r="AM15" i="30"/>
  <c r="T15" i="30"/>
  <c r="W15" i="30"/>
  <c r="V15" i="30"/>
  <c r="AL15" i="30"/>
  <c r="AW15" i="30"/>
  <c r="Z15" i="30"/>
  <c r="R15" i="30"/>
  <c r="Q15" i="30" l="1"/>
  <c r="AJ15" i="30" s="1"/>
  <c r="AZ16" i="30"/>
  <c r="AU16" i="30"/>
  <c r="AP16" i="30"/>
  <c r="AM16" i="30"/>
  <c r="R16" i="30"/>
  <c r="U16" i="30"/>
  <c r="AB16" i="30"/>
  <c r="S16" i="30"/>
  <c r="AY16" i="30"/>
  <c r="W16" i="30"/>
  <c r="AF16" i="30"/>
  <c r="AR16" i="30"/>
  <c r="AC16" i="30"/>
  <c r="AD16" i="30"/>
  <c r="AA16" i="30"/>
  <c r="AL16" i="30"/>
  <c r="AN16" i="30"/>
  <c r="AK16" i="30"/>
  <c r="AV16" i="30"/>
  <c r="Z16" i="30"/>
  <c r="AE16" i="30"/>
  <c r="V16" i="30"/>
  <c r="Y16" i="30"/>
  <c r="AX16" i="30"/>
  <c r="AQ16" i="30"/>
  <c r="AG16" i="30"/>
  <c r="AW16" i="30"/>
  <c r="AO16" i="30"/>
  <c r="AT16" i="30"/>
  <c r="AS16" i="30"/>
  <c r="T16" i="30"/>
  <c r="X16" i="30"/>
  <c r="Q16" i="30" l="1"/>
  <c r="AJ16" i="30" s="1"/>
  <c r="AS17" i="30"/>
  <c r="AG17" i="30"/>
  <c r="X17" i="30"/>
  <c r="AO17" i="30"/>
  <c r="AU17" i="30"/>
  <c r="AQ17" i="30"/>
  <c r="AE17" i="30"/>
  <c r="AK17" i="30"/>
  <c r="R17" i="30"/>
  <c r="Y17" i="30"/>
  <c r="AT17" i="30"/>
  <c r="AB17" i="30"/>
  <c r="AW17" i="30"/>
  <c r="AP17" i="30"/>
  <c r="Z17" i="30"/>
  <c r="AY17" i="30"/>
  <c r="AF17" i="30"/>
  <c r="AN17" i="30"/>
  <c r="AR17" i="30"/>
  <c r="AL17" i="30"/>
  <c r="AX17" i="30"/>
  <c r="W17" i="30"/>
  <c r="AM17" i="30"/>
  <c r="AC17" i="30"/>
  <c r="AA17" i="30"/>
  <c r="AD17" i="30"/>
  <c r="T17" i="30"/>
  <c r="AZ17" i="30"/>
  <c r="U17" i="30"/>
  <c r="S17" i="30"/>
  <c r="AV17" i="30"/>
  <c r="V17" i="30"/>
  <c r="Q17" i="30" l="1"/>
  <c r="AJ17" i="30" s="1"/>
  <c r="AX18" i="30"/>
  <c r="AE18" i="30"/>
  <c r="X18" i="30"/>
  <c r="T18" i="30"/>
  <c r="AC18" i="30"/>
  <c r="AW18" i="30"/>
  <c r="AN18" i="30"/>
  <c r="AY18" i="30"/>
  <c r="AZ18" i="30"/>
  <c r="AO18" i="30"/>
  <c r="AB18" i="30"/>
  <c r="AD18" i="30"/>
  <c r="AL18" i="30"/>
  <c r="W18" i="30"/>
  <c r="AA18" i="30"/>
  <c r="S18" i="30"/>
  <c r="AM18" i="30"/>
  <c r="AV18" i="30"/>
  <c r="AF18" i="30"/>
  <c r="AS18" i="30"/>
  <c r="AK18" i="30"/>
  <c r="U18" i="30"/>
  <c r="AU18" i="30"/>
  <c r="Y18" i="30"/>
  <c r="AR18" i="30"/>
  <c r="V18" i="30"/>
  <c r="AG18" i="30"/>
  <c r="AQ18" i="30"/>
  <c r="AP18" i="30"/>
  <c r="AT18" i="30"/>
  <c r="R18" i="30"/>
  <c r="Z18" i="30"/>
  <c r="Q18" i="30" l="1"/>
  <c r="AJ18" i="30" s="1"/>
  <c r="AE19" i="30"/>
  <c r="AG19" i="30"/>
  <c r="T19" i="30"/>
  <c r="V19" i="30"/>
  <c r="AT19" i="30"/>
  <c r="AA19" i="30"/>
  <c r="U19" i="30"/>
  <c r="AK19" i="30"/>
  <c r="AR19" i="30"/>
  <c r="AW19" i="30"/>
  <c r="AM19" i="30"/>
  <c r="AX19" i="30"/>
  <c r="Z19" i="30"/>
  <c r="AL19" i="30"/>
  <c r="AZ19" i="30"/>
  <c r="Y19" i="30"/>
  <c r="R19" i="30"/>
  <c r="AU19" i="30"/>
  <c r="AV19" i="30"/>
  <c r="AD19" i="30"/>
  <c r="W19" i="30"/>
  <c r="AQ19" i="30"/>
  <c r="AN19" i="30"/>
  <c r="AY19" i="30"/>
  <c r="AP19" i="30"/>
  <c r="S19" i="30"/>
  <c r="AC19" i="30"/>
  <c r="X19" i="30"/>
  <c r="AB19" i="30"/>
  <c r="AO19" i="30"/>
  <c r="AS19" i="30"/>
  <c r="AF19" i="30"/>
  <c r="Q19" i="30" l="1"/>
  <c r="AJ19" i="30" s="1"/>
  <c r="AX20" i="30"/>
  <c r="AU20" i="30"/>
  <c r="AN20" i="30"/>
  <c r="AP20" i="30"/>
  <c r="AL20" i="30"/>
  <c r="AT20" i="30"/>
  <c r="AC20" i="30"/>
  <c r="S20" i="30"/>
  <c r="AD20" i="30"/>
  <c r="AG20" i="30"/>
  <c r="R20" i="30"/>
  <c r="AB20" i="30"/>
  <c r="AM20" i="30"/>
  <c r="Z20" i="30"/>
  <c r="T20" i="30"/>
  <c r="W20" i="30"/>
  <c r="AO20" i="30"/>
  <c r="AV20" i="30"/>
  <c r="AF20" i="30"/>
  <c r="Y20" i="30"/>
  <c r="AZ20" i="30"/>
  <c r="AW20" i="30"/>
  <c r="AS20" i="30"/>
  <c r="X20" i="30"/>
  <c r="AK20" i="30"/>
  <c r="AA20" i="30"/>
  <c r="AQ20" i="30"/>
  <c r="AE20" i="30"/>
  <c r="AR20" i="30"/>
  <c r="U20" i="30"/>
  <c r="V20" i="30"/>
  <c r="AY20" i="30"/>
  <c r="Q20" i="30" l="1"/>
  <c r="AJ20" i="30" s="1"/>
  <c r="S21" i="30"/>
  <c r="AZ21" i="30"/>
  <c r="V21" i="30"/>
  <c r="X21" i="30"/>
  <c r="AW21" i="30"/>
  <c r="AA21" i="30"/>
  <c r="W21" i="30"/>
  <c r="AG21" i="30"/>
  <c r="AB21" i="30"/>
  <c r="U21" i="30"/>
  <c r="AT21" i="30"/>
  <c r="AP21" i="30"/>
  <c r="AS21" i="30"/>
  <c r="AM21" i="30"/>
  <c r="AC21" i="30"/>
  <c r="AY21" i="30"/>
  <c r="AE21" i="30"/>
  <c r="AF21" i="30"/>
  <c r="AV21" i="30"/>
  <c r="R21" i="30"/>
  <c r="AU21" i="30"/>
  <c r="AK21" i="30"/>
  <c r="Y21" i="30"/>
  <c r="T21" i="30"/>
  <c r="AD21" i="30"/>
  <c r="AR21" i="30"/>
  <c r="Z21" i="30"/>
  <c r="AX21" i="30"/>
  <c r="AL21" i="30"/>
  <c r="AO21" i="30"/>
  <c r="AQ21" i="30"/>
  <c r="AN21" i="30"/>
  <c r="Q21" i="30" l="1"/>
  <c r="AJ21" i="30" s="1"/>
  <c r="AL22" i="30"/>
  <c r="AE22" i="30"/>
  <c r="V22" i="30"/>
  <c r="U22" i="30"/>
  <c r="Y22" i="30"/>
  <c r="T22" i="30"/>
  <c r="AW22" i="30"/>
  <c r="AO22" i="30"/>
  <c r="AV22" i="30"/>
  <c r="AQ22" i="30"/>
  <c r="AY22" i="30"/>
  <c r="AN22" i="30"/>
  <c r="AF22" i="30"/>
  <c r="X22" i="30"/>
  <c r="AU22" i="30"/>
  <c r="AM22" i="30"/>
  <c r="Z22" i="30"/>
  <c r="S22" i="30"/>
  <c r="AX22" i="30"/>
  <c r="W22" i="30"/>
  <c r="AR22" i="30"/>
  <c r="AG22" i="30"/>
  <c r="AK22" i="30"/>
  <c r="AD22" i="30"/>
  <c r="AZ22" i="30"/>
  <c r="AC22" i="30"/>
  <c r="R22" i="30"/>
  <c r="AT22" i="30"/>
  <c r="AB22" i="30"/>
  <c r="AS22" i="30"/>
  <c r="AA22" i="30"/>
  <c r="AP22" i="30"/>
  <c r="Q22" i="30" l="1"/>
  <c r="AJ22" i="30" s="1"/>
  <c r="AR23" i="30"/>
  <c r="AF23" i="30"/>
  <c r="AN23" i="30"/>
  <c r="V23" i="30"/>
  <c r="Z23" i="30"/>
  <c r="T23" i="30"/>
  <c r="AL23" i="30"/>
  <c r="AM23" i="30"/>
  <c r="AE23" i="30"/>
  <c r="U23" i="30"/>
  <c r="R23" i="30"/>
  <c r="S23" i="30"/>
  <c r="AW23" i="30"/>
  <c r="AV23" i="30"/>
  <c r="X23" i="30"/>
  <c r="AC23" i="30"/>
  <c r="AA23" i="30"/>
  <c r="AZ23" i="30"/>
  <c r="AO23" i="30"/>
  <c r="AD23" i="30"/>
  <c r="AG23" i="30"/>
  <c r="AU23" i="30"/>
  <c r="AB23" i="30"/>
  <c r="AT23" i="30"/>
  <c r="AX23" i="30"/>
  <c r="Y23" i="30"/>
  <c r="AY23" i="30"/>
  <c r="AP23" i="30"/>
  <c r="AK23" i="30"/>
  <c r="AQ23" i="30"/>
  <c r="AS23" i="30"/>
  <c r="W23" i="30"/>
  <c r="Q23" i="30" l="1"/>
  <c r="AJ23" i="30" s="1"/>
  <c r="AR24" i="30"/>
  <c r="AD24" i="30"/>
  <c r="W24" i="30"/>
  <c r="AQ24" i="30"/>
  <c r="AU24" i="30"/>
  <c r="AO24" i="30"/>
  <c r="AV24" i="30"/>
  <c r="T24" i="30"/>
  <c r="Y24" i="30"/>
  <c r="AM24" i="30"/>
  <c r="AY24" i="30"/>
  <c r="U24" i="30"/>
  <c r="R24" i="30"/>
  <c r="AP24" i="30"/>
  <c r="AA24" i="30"/>
  <c r="X24" i="30"/>
  <c r="S24" i="30"/>
  <c r="AT24" i="30"/>
  <c r="AB24" i="30"/>
  <c r="V24" i="30"/>
  <c r="AF24" i="30"/>
  <c r="AZ24" i="30"/>
  <c r="Z24" i="30"/>
  <c r="AL24" i="30"/>
  <c r="AE24" i="30"/>
  <c r="AK24" i="30"/>
  <c r="AW24" i="30"/>
  <c r="AS24" i="30"/>
  <c r="AC24" i="30"/>
  <c r="AX24" i="30"/>
  <c r="AG24" i="30"/>
  <c r="AN24" i="30"/>
  <c r="Q24" i="30" l="1"/>
  <c r="AJ24" i="30" s="1"/>
  <c r="AG25" i="30"/>
  <c r="AO25" i="30"/>
  <c r="Z25" i="30"/>
  <c r="R25" i="30"/>
  <c r="AA25" i="30"/>
  <c r="AT25" i="30"/>
  <c r="S25" i="30"/>
  <c r="AL25" i="30"/>
  <c r="W25" i="30"/>
  <c r="AM25" i="30"/>
  <c r="Y25" i="30"/>
  <c r="AD25" i="30"/>
  <c r="AE25" i="30"/>
  <c r="AU25" i="30"/>
  <c r="AK25" i="30"/>
  <c r="X25" i="30"/>
  <c r="AW25" i="30"/>
  <c r="AZ25" i="30"/>
  <c r="AN25" i="30"/>
  <c r="AR25" i="30"/>
  <c r="AC25" i="30"/>
  <c r="AB25" i="30"/>
  <c r="AQ25" i="30"/>
  <c r="U25" i="30"/>
  <c r="AX25" i="30"/>
  <c r="T25" i="30"/>
  <c r="AY25" i="30"/>
  <c r="AV25" i="30"/>
  <c r="AP25" i="30"/>
  <c r="AS25" i="30"/>
  <c r="V25" i="30"/>
  <c r="AF25" i="30"/>
  <c r="Q25" i="30" l="1"/>
  <c r="AJ25" i="30" s="1"/>
  <c r="AV26" i="30"/>
  <c r="AZ26" i="30"/>
  <c r="AP26" i="30"/>
  <c r="AN26" i="30"/>
  <c r="Y26" i="30"/>
  <c r="S26" i="30"/>
  <c r="AF26" i="30"/>
  <c r="AE26" i="30"/>
  <c r="AD26" i="30"/>
  <c r="T26" i="30"/>
  <c r="Z26" i="30"/>
  <c r="AK26" i="30"/>
  <c r="AU26" i="30"/>
  <c r="AR26" i="30"/>
  <c r="X26" i="30"/>
  <c r="R26" i="30"/>
  <c r="AQ26" i="30"/>
  <c r="W26" i="30"/>
  <c r="AB26" i="30"/>
  <c r="AM26" i="30"/>
  <c r="V26" i="30"/>
  <c r="AX26" i="30"/>
  <c r="AC26" i="30"/>
  <c r="AO26" i="30"/>
  <c r="AG26" i="30"/>
  <c r="AT26" i="30"/>
  <c r="AL26" i="30"/>
  <c r="AW26" i="30"/>
  <c r="AY26" i="30"/>
  <c r="U26" i="30"/>
  <c r="AA26" i="30"/>
  <c r="AS26" i="30"/>
  <c r="Q26" i="30" l="1"/>
  <c r="AJ26" i="30" s="1"/>
  <c r="AD27" i="30"/>
  <c r="AS27" i="30"/>
  <c r="AN27" i="30"/>
  <c r="W27" i="30"/>
  <c r="AR27" i="30"/>
  <c r="AY27" i="30"/>
  <c r="AO27" i="30"/>
  <c r="AL27" i="30"/>
  <c r="AZ27" i="30"/>
  <c r="R27" i="30"/>
  <c r="AF27" i="30"/>
  <c r="AU27" i="30"/>
  <c r="AG27" i="30"/>
  <c r="Y27" i="30"/>
  <c r="AK27" i="30"/>
  <c r="S27" i="30"/>
  <c r="AB27" i="30"/>
  <c r="Z27" i="30"/>
  <c r="AE27" i="30"/>
  <c r="AA27" i="30"/>
  <c r="AQ27" i="30"/>
  <c r="X27" i="30"/>
  <c r="AM27" i="30"/>
  <c r="V27" i="30"/>
  <c r="U27" i="30"/>
  <c r="AX27" i="30"/>
  <c r="T27" i="30"/>
  <c r="AV27" i="30"/>
  <c r="AP27" i="30"/>
  <c r="AW27" i="30"/>
  <c r="AT27" i="30"/>
  <c r="AC27" i="30"/>
  <c r="Q27" i="30" l="1"/>
  <c r="AJ27" i="30" s="1"/>
  <c r="AV28" i="30"/>
  <c r="AF28" i="30"/>
  <c r="T28" i="30"/>
  <c r="W28" i="30"/>
  <c r="AY28" i="30"/>
  <c r="AQ28" i="30"/>
  <c r="AA28" i="30"/>
  <c r="U28" i="30"/>
  <c r="AS28" i="30"/>
  <c r="V28" i="30"/>
  <c r="S28" i="30"/>
  <c r="X28" i="30"/>
  <c r="AZ28" i="30"/>
  <c r="AM28" i="30"/>
  <c r="AR28" i="30"/>
  <c r="AN28" i="30"/>
  <c r="AX28" i="30"/>
  <c r="AT28" i="30"/>
  <c r="AE28" i="30"/>
  <c r="AP28" i="30"/>
  <c r="AL28" i="30"/>
  <c r="Y28" i="30"/>
  <c r="AU28" i="30"/>
  <c r="R28" i="30"/>
  <c r="AW28" i="30"/>
  <c r="AB28" i="30"/>
  <c r="Z28" i="30"/>
  <c r="AK28" i="30"/>
  <c r="AG28" i="30"/>
  <c r="AD28" i="30"/>
  <c r="AC28" i="30"/>
  <c r="AO28" i="30"/>
  <c r="Q28" i="30" l="1"/>
  <c r="AJ28" i="30" s="1"/>
  <c r="AR29" i="30"/>
  <c r="AF29" i="30"/>
  <c r="W29" i="30"/>
  <c r="AQ29" i="30"/>
  <c r="AU29" i="30"/>
  <c r="S29" i="30"/>
  <c r="AK29" i="30"/>
  <c r="AB29" i="30"/>
  <c r="AS29" i="30"/>
  <c r="AT29" i="30"/>
  <c r="T29" i="30"/>
  <c r="AV29" i="30"/>
  <c r="AN29" i="30"/>
  <c r="AP29" i="30"/>
  <c r="Y29" i="30"/>
  <c r="AD29" i="30"/>
  <c r="AX29" i="30"/>
  <c r="AM29" i="30"/>
  <c r="R29" i="30"/>
  <c r="Z29" i="30"/>
  <c r="AO29" i="30"/>
  <c r="AY29" i="30"/>
  <c r="AW29" i="30"/>
  <c r="AG29" i="30"/>
  <c r="AA29" i="30"/>
  <c r="U29" i="30"/>
  <c r="AL29" i="30"/>
  <c r="AC29" i="30"/>
  <c r="AZ29" i="30"/>
  <c r="X29" i="30"/>
  <c r="AE29" i="30"/>
  <c r="V29" i="30"/>
  <c r="Q29" i="30" l="1"/>
  <c r="AJ29" i="30" s="1"/>
  <c r="R30" i="30"/>
  <c r="AV30" i="30"/>
  <c r="X30" i="30"/>
  <c r="U30" i="30"/>
  <c r="AG30" i="30"/>
  <c r="Y30" i="30"/>
  <c r="V30" i="30"/>
  <c r="AW30" i="30"/>
  <c r="AZ30" i="30"/>
  <c r="AO30" i="30"/>
  <c r="AQ30" i="30"/>
  <c r="Z30" i="30"/>
  <c r="S30" i="30"/>
  <c r="AX30" i="30"/>
  <c r="T30" i="30"/>
  <c r="AU30" i="30"/>
  <c r="AR30" i="30"/>
  <c r="AM30" i="30"/>
  <c r="AY30" i="30"/>
  <c r="AL30" i="30"/>
  <c r="AB30" i="30"/>
  <c r="AA30" i="30"/>
  <c r="AT30" i="30"/>
  <c r="AC30" i="30"/>
  <c r="AN30" i="30"/>
  <c r="AD30" i="30"/>
  <c r="AF30" i="30"/>
  <c r="AK30" i="30"/>
  <c r="AS30" i="30"/>
  <c r="W30" i="30"/>
  <c r="AE30" i="30"/>
  <c r="AP30" i="30"/>
  <c r="Q30" i="30" l="1"/>
  <c r="AJ30" i="30" s="1"/>
  <c r="S31" i="30"/>
  <c r="Y31" i="30"/>
  <c r="V31" i="30"/>
  <c r="AQ31" i="30"/>
  <c r="AX31" i="30"/>
  <c r="AE31" i="30"/>
  <c r="AW31" i="30"/>
  <c r="AF31" i="30"/>
  <c r="AY31" i="30"/>
  <c r="AT31" i="30"/>
  <c r="AZ31" i="30"/>
  <c r="AN31" i="30"/>
  <c r="AB31" i="30"/>
  <c r="AC31" i="30"/>
  <c r="W31" i="30"/>
  <c r="AA31" i="30"/>
  <c r="AO31" i="30"/>
  <c r="T31" i="30"/>
  <c r="AD31" i="30"/>
  <c r="AK31" i="30"/>
  <c r="R31" i="30"/>
  <c r="AV31" i="30"/>
  <c r="AG31" i="30"/>
  <c r="Z31" i="30"/>
  <c r="AP31" i="30"/>
  <c r="AS31" i="30"/>
  <c r="AU31" i="30"/>
  <c r="AM31" i="30"/>
  <c r="X31" i="30"/>
  <c r="AL31" i="30"/>
  <c r="AR31" i="30"/>
  <c r="U31" i="30"/>
  <c r="Q31" i="30" l="1"/>
  <c r="AJ31" i="30" s="1"/>
  <c r="Y32" i="30"/>
  <c r="AW32" i="30"/>
  <c r="AO32" i="30"/>
  <c r="AN32" i="30"/>
  <c r="AB32" i="30"/>
  <c r="AF32" i="30"/>
  <c r="AT32" i="30"/>
  <c r="W32" i="30"/>
  <c r="AD32" i="30"/>
  <c r="AE32" i="30"/>
  <c r="AM32" i="30"/>
  <c r="AR32" i="30"/>
  <c r="AX32" i="30"/>
  <c r="AV32" i="30"/>
  <c r="Z32" i="30"/>
  <c r="AK32" i="30"/>
  <c r="S32" i="30"/>
  <c r="AL32" i="30"/>
  <c r="T32" i="30"/>
  <c r="AY32" i="30"/>
  <c r="AU32" i="30"/>
  <c r="AP32" i="30"/>
  <c r="AS32" i="30"/>
  <c r="AG32" i="30"/>
  <c r="R32" i="30"/>
  <c r="AQ32" i="30"/>
  <c r="AA32" i="30"/>
  <c r="V32" i="30"/>
  <c r="AC32" i="30"/>
  <c r="AZ32" i="30"/>
  <c r="X32" i="30"/>
  <c r="U32" i="30"/>
  <c r="Q32" i="30" l="1"/>
  <c r="AJ32" i="30" s="1"/>
  <c r="AA33" i="30"/>
  <c r="R33" i="30"/>
  <c r="U33" i="30"/>
  <c r="AO33" i="30"/>
  <c r="AC33" i="30"/>
  <c r="AV33" i="30"/>
  <c r="AS33" i="30"/>
  <c r="AQ33" i="30"/>
  <c r="AE33" i="30"/>
  <c r="AG33" i="30"/>
  <c r="V33" i="30"/>
  <c r="AP33" i="30"/>
  <c r="AT33" i="30"/>
  <c r="W33" i="30"/>
  <c r="X33" i="30"/>
  <c r="S33" i="30"/>
  <c r="AW33" i="30"/>
  <c r="AZ33" i="30"/>
  <c r="AR33" i="30"/>
  <c r="AF33" i="30"/>
  <c r="T33" i="30"/>
  <c r="AL33" i="30"/>
  <c r="AU33" i="30"/>
  <c r="AD33" i="30"/>
  <c r="AN33" i="30"/>
  <c r="Y33" i="30"/>
  <c r="AY33" i="30"/>
  <c r="AK33" i="30"/>
  <c r="Z33" i="30"/>
  <c r="AX33" i="30"/>
  <c r="AM33" i="30"/>
  <c r="AB33" i="30"/>
  <c r="Q33" i="30" l="1"/>
  <c r="AJ33" i="30" s="1"/>
  <c r="AW34" i="30"/>
  <c r="AB34" i="30"/>
  <c r="V34" i="30"/>
  <c r="X34" i="30"/>
  <c r="AX34" i="30"/>
  <c r="AQ34" i="30"/>
  <c r="AD34" i="30"/>
  <c r="AL34" i="30"/>
  <c r="AO34" i="30"/>
  <c r="AG34" i="30"/>
  <c r="AR34" i="30"/>
  <c r="AP34" i="30"/>
  <c r="W34" i="30"/>
  <c r="AF34" i="30"/>
  <c r="U34" i="30"/>
  <c r="AY34" i="30"/>
  <c r="AV34" i="30"/>
  <c r="Y34" i="30"/>
  <c r="Z34" i="30"/>
  <c r="T34" i="30"/>
  <c r="AT34" i="30"/>
  <c r="S34" i="30"/>
  <c r="AZ34" i="30"/>
  <c r="AM34" i="30"/>
  <c r="AC34" i="30"/>
  <c r="AA34" i="30"/>
  <c r="AS34" i="30"/>
  <c r="AU34" i="30"/>
  <c r="R34" i="30"/>
  <c r="AK34" i="30"/>
  <c r="AN34" i="30"/>
  <c r="AE34" i="30"/>
  <c r="Q34" i="30" l="1"/>
  <c r="AJ34" i="30" s="1"/>
  <c r="AT35" i="30"/>
  <c r="AC35" i="30"/>
  <c r="AP35" i="30"/>
  <c r="AM35" i="30"/>
  <c r="AF35" i="30"/>
  <c r="AU35" i="30"/>
  <c r="AX35" i="30"/>
  <c r="X35" i="30"/>
  <c r="AZ35" i="30"/>
  <c r="AL35" i="30"/>
  <c r="AK35" i="30"/>
  <c r="AY35" i="30"/>
  <c r="AW35" i="30"/>
  <c r="U35" i="30"/>
  <c r="V35" i="30"/>
  <c r="AD35" i="30"/>
  <c r="AO35" i="30"/>
  <c r="AN35" i="30"/>
  <c r="AR35" i="30"/>
  <c r="AV35" i="30"/>
  <c r="AB35" i="30"/>
  <c r="AE35" i="30"/>
  <c r="Z35" i="30"/>
  <c r="AS35" i="30"/>
  <c r="R35" i="30"/>
  <c r="AQ35" i="30"/>
  <c r="AG35" i="30"/>
  <c r="T35" i="30"/>
  <c r="S35" i="30"/>
  <c r="Y35" i="30"/>
  <c r="W35" i="30"/>
  <c r="AA35" i="30"/>
  <c r="Q35" i="30" l="1"/>
  <c r="AJ35" i="30" s="1"/>
  <c r="AZ36" i="30"/>
  <c r="AE36" i="30"/>
  <c r="AO36" i="30"/>
  <c r="W36" i="30"/>
  <c r="AU36" i="30"/>
  <c r="U36" i="30"/>
  <c r="AG36" i="30"/>
  <c r="X36" i="30"/>
  <c r="AY36" i="30"/>
  <c r="T36" i="30"/>
  <c r="S36" i="30"/>
  <c r="AQ36" i="30"/>
  <c r="AW36" i="30"/>
  <c r="AN36" i="30"/>
  <c r="AC36" i="30"/>
  <c r="AP36" i="30"/>
  <c r="AK36" i="30"/>
  <c r="AR36" i="30"/>
  <c r="AS36" i="30"/>
  <c r="V36" i="30"/>
  <c r="AB36" i="30"/>
  <c r="AD36" i="30"/>
  <c r="Y36" i="30"/>
  <c r="AA36" i="30"/>
  <c r="AL36" i="30"/>
  <c r="Z36" i="30"/>
  <c r="AF36" i="30"/>
  <c r="AT36" i="30"/>
  <c r="AX36" i="30"/>
  <c r="AV36" i="30"/>
  <c r="R36" i="30"/>
  <c r="AM36" i="30"/>
  <c r="Q36" i="30" l="1"/>
  <c r="AJ36" i="30" s="1"/>
  <c r="AS37" i="30"/>
  <c r="S37" i="30"/>
  <c r="AP37" i="30"/>
  <c r="W37" i="30"/>
  <c r="AD37" i="30"/>
  <c r="U37" i="30"/>
  <c r="AA37" i="30"/>
  <c r="V37" i="30"/>
  <c r="Z37" i="30"/>
  <c r="X37" i="30"/>
  <c r="AL37" i="30"/>
  <c r="AO37" i="30"/>
  <c r="AZ37" i="30"/>
  <c r="AN37" i="30"/>
  <c r="AF37" i="30"/>
  <c r="T37" i="30"/>
  <c r="AV37" i="30"/>
  <c r="AR37" i="30"/>
  <c r="AT37" i="30"/>
  <c r="AQ37" i="30"/>
  <c r="AE37" i="30"/>
  <c r="AC37" i="30"/>
  <c r="AK37" i="30"/>
  <c r="AB37" i="30"/>
  <c r="R37" i="30"/>
  <c r="Y37" i="30"/>
  <c r="AU37" i="30"/>
  <c r="AW37" i="30"/>
  <c r="AX37" i="30"/>
  <c r="AG37" i="30"/>
  <c r="AY37" i="30"/>
  <c r="AM37" i="30"/>
  <c r="Q37" i="30" l="1"/>
  <c r="AJ37" i="30" s="1"/>
  <c r="AY38" i="30"/>
  <c r="U38" i="30"/>
  <c r="AT38" i="30"/>
  <c r="Z38" i="30"/>
  <c r="R38" i="30"/>
  <c r="T38" i="30"/>
  <c r="AF38" i="30"/>
  <c r="AU38" i="30"/>
  <c r="AB38" i="30"/>
  <c r="AQ38" i="30"/>
  <c r="AC38" i="30"/>
  <c r="AP38" i="30"/>
  <c r="AA38" i="30"/>
  <c r="AE38" i="30"/>
  <c r="AR38" i="30"/>
  <c r="W38" i="30"/>
  <c r="X38" i="30"/>
  <c r="AL38" i="30"/>
  <c r="AK38" i="30"/>
  <c r="AV38" i="30"/>
  <c r="AM38" i="30"/>
  <c r="Y38" i="30"/>
  <c r="V38" i="30"/>
  <c r="AZ38" i="30"/>
  <c r="AX38" i="30"/>
  <c r="AG38" i="30"/>
  <c r="S38" i="30"/>
  <c r="AD38" i="30"/>
  <c r="AN38" i="30"/>
  <c r="AW38" i="30"/>
  <c r="AO38" i="30"/>
  <c r="AS38" i="30"/>
  <c r="Q38" i="30" l="1"/>
  <c r="AJ38" i="30" s="1"/>
  <c r="AC39" i="30"/>
  <c r="R39" i="30"/>
  <c r="U39" i="30"/>
  <c r="AP39" i="30"/>
  <c r="AV39" i="30"/>
  <c r="AN39" i="30"/>
  <c r="Z39" i="30"/>
  <c r="W39" i="30"/>
  <c r="AD39" i="30"/>
  <c r="V39" i="30"/>
  <c r="AW39" i="30"/>
  <c r="X39" i="30"/>
  <c r="AS39" i="30"/>
  <c r="AQ39" i="30"/>
  <c r="AF39" i="30"/>
  <c r="AO39" i="30"/>
  <c r="AY39" i="30"/>
  <c r="AL39" i="30"/>
  <c r="AK39" i="30"/>
  <c r="T39" i="30"/>
  <c r="S39" i="30"/>
  <c r="AB39" i="30"/>
  <c r="AZ39" i="30"/>
  <c r="AT39" i="30"/>
  <c r="AR39" i="30"/>
  <c r="AG39" i="30"/>
  <c r="AE39" i="30"/>
  <c r="AA39" i="30"/>
  <c r="AU39" i="30"/>
  <c r="Y39" i="30"/>
  <c r="AX39" i="30"/>
  <c r="AM39" i="30"/>
  <c r="Q39" i="30" l="1"/>
  <c r="AJ39" i="30" s="1"/>
  <c r="AB40" i="30"/>
  <c r="Z40" i="30"/>
  <c r="AO40" i="30"/>
  <c r="AQ40" i="30"/>
  <c r="AE40" i="30"/>
  <c r="V40" i="30"/>
  <c r="S40" i="30"/>
  <c r="AP40" i="30"/>
  <c r="AZ40" i="30"/>
  <c r="W40" i="30"/>
  <c r="Y40" i="30"/>
  <c r="U40" i="30"/>
  <c r="AR40" i="30"/>
  <c r="AN40" i="30"/>
  <c r="AY40" i="30"/>
  <c r="T40" i="30"/>
  <c r="AA40" i="30"/>
  <c r="AG40" i="30"/>
  <c r="AW40" i="30"/>
  <c r="AM40" i="30"/>
  <c r="AK40" i="30"/>
  <c r="AS40" i="30"/>
  <c r="AU40" i="30"/>
  <c r="AV40" i="30"/>
  <c r="AF40" i="30"/>
  <c r="AL40" i="30"/>
  <c r="AT40" i="30"/>
  <c r="AX40" i="30"/>
  <c r="AC40" i="30"/>
  <c r="AD40" i="30"/>
  <c r="R40" i="30"/>
  <c r="X40" i="30"/>
  <c r="Q40" i="30" l="1"/>
  <c r="AJ40" i="30" s="1"/>
  <c r="AR41" i="30"/>
  <c r="AT41" i="30"/>
  <c r="AM41" i="30"/>
  <c r="AN41" i="30"/>
  <c r="AB41" i="30"/>
  <c r="S41" i="30"/>
  <c r="AZ41" i="30"/>
  <c r="X41" i="30"/>
  <c r="AS41" i="30"/>
  <c r="AV41" i="30"/>
  <c r="AK41" i="30"/>
  <c r="V41" i="30"/>
  <c r="AA41" i="30"/>
  <c r="AD41" i="30"/>
  <c r="Y41" i="30"/>
  <c r="AU41" i="30"/>
  <c r="T41" i="30"/>
  <c r="W41" i="30"/>
  <c r="U41" i="30"/>
  <c r="AP41" i="30"/>
  <c r="AX41" i="30"/>
  <c r="R41" i="30"/>
  <c r="AL41" i="30"/>
  <c r="AY41" i="30"/>
  <c r="AQ41" i="30"/>
  <c r="AF41" i="30"/>
  <c r="AG41" i="30"/>
  <c r="AC41" i="30"/>
  <c r="AO41" i="30"/>
  <c r="Z41" i="30"/>
  <c r="AW41" i="30"/>
  <c r="AE41" i="30"/>
  <c r="Q41" i="30" l="1"/>
  <c r="AJ41" i="30" s="1"/>
  <c r="AC42" i="30"/>
  <c r="AW42" i="30"/>
  <c r="X42" i="30"/>
  <c r="AN42" i="30"/>
  <c r="AL42" i="30"/>
  <c r="AR42" i="30"/>
  <c r="AU42" i="30"/>
  <c r="T42" i="30"/>
  <c r="AA42" i="30"/>
  <c r="AE42" i="30"/>
  <c r="AQ42" i="30"/>
  <c r="U42" i="30"/>
  <c r="AV42" i="30"/>
  <c r="AY42" i="30"/>
  <c r="AB42" i="30"/>
  <c r="AK42" i="30"/>
  <c r="AX42" i="30"/>
  <c r="AF42" i="30"/>
  <c r="AG42" i="30"/>
  <c r="S42" i="30"/>
  <c r="AO42" i="30"/>
  <c r="Y42" i="30"/>
  <c r="AS42" i="30"/>
  <c r="AD42" i="30"/>
  <c r="AM42" i="30"/>
  <c r="AT42" i="30"/>
  <c r="Z42" i="30"/>
  <c r="AZ42" i="30"/>
  <c r="V42" i="30"/>
  <c r="AP42" i="30"/>
  <c r="W42" i="30"/>
  <c r="R42" i="30"/>
  <c r="Q42" i="30" l="1"/>
  <c r="AJ42" i="30" s="1"/>
  <c r="AG43" i="30"/>
  <c r="AC43" i="30"/>
  <c r="V43" i="30"/>
  <c r="X43" i="30"/>
  <c r="AL43" i="30"/>
  <c r="AW43" i="30"/>
  <c r="AN43" i="30"/>
  <c r="AZ43" i="30"/>
  <c r="R43" i="30"/>
  <c r="T43" i="30"/>
  <c r="AR43" i="30"/>
  <c r="AQ43" i="30"/>
  <c r="S43" i="30"/>
  <c r="AM43" i="30"/>
  <c r="U43" i="30"/>
  <c r="W43" i="30"/>
  <c r="AP43" i="30"/>
  <c r="AF43" i="30"/>
  <c r="AD43" i="30"/>
  <c r="AA43" i="30"/>
  <c r="Y43" i="30"/>
  <c r="AT43" i="30"/>
  <c r="AB43" i="30"/>
  <c r="Z43" i="30"/>
  <c r="AO43" i="30"/>
  <c r="AU43" i="30"/>
  <c r="AK43" i="30"/>
  <c r="AX43" i="30"/>
  <c r="AS43" i="30"/>
  <c r="AE43" i="30"/>
  <c r="AV43" i="30"/>
  <c r="AY43" i="30"/>
  <c r="Q43" i="30" l="1"/>
  <c r="AJ43" i="30" s="1"/>
  <c r="AZ44" i="30"/>
  <c r="AA44" i="30"/>
  <c r="AN44" i="30"/>
  <c r="AM44" i="30"/>
  <c r="AD44" i="30"/>
  <c r="V44" i="30"/>
  <c r="X44" i="30"/>
  <c r="AS44" i="30"/>
  <c r="R44" i="30"/>
  <c r="AP44" i="30"/>
  <c r="AW44" i="30"/>
  <c r="AL44" i="30"/>
  <c r="AU44" i="30"/>
  <c r="AT44" i="30"/>
  <c r="S44" i="30"/>
  <c r="AR44" i="30"/>
  <c r="Y44" i="30"/>
  <c r="AG44" i="30"/>
  <c r="AK44" i="30"/>
  <c r="AF44" i="30"/>
  <c r="AB44" i="30"/>
  <c r="AC44" i="30"/>
  <c r="AY44" i="30"/>
  <c r="AV44" i="30"/>
  <c r="AX44" i="30"/>
  <c r="T44" i="30"/>
  <c r="Z44" i="30"/>
  <c r="AE44" i="30"/>
  <c r="U44" i="30"/>
  <c r="AO44" i="30"/>
  <c r="AQ44" i="30"/>
  <c r="W44" i="30"/>
  <c r="Q44" i="30" l="1"/>
  <c r="AJ44" i="30" s="1"/>
  <c r="AT45" i="30"/>
  <c r="AX45" i="30"/>
  <c r="X45" i="30"/>
  <c r="V45" i="30"/>
  <c r="S45" i="30"/>
  <c r="AQ45" i="30"/>
  <c r="AG45" i="30"/>
  <c r="AR45" i="30"/>
  <c r="AY45" i="30"/>
  <c r="AM45" i="30"/>
  <c r="AC45" i="30"/>
  <c r="AV45" i="30"/>
  <c r="AZ45" i="30"/>
  <c r="T45" i="30"/>
  <c r="AF45" i="30"/>
  <c r="AL45" i="30"/>
  <c r="R45" i="30"/>
  <c r="AA45" i="30"/>
  <c r="AP45" i="30"/>
  <c r="AW45" i="30"/>
  <c r="AS45" i="30"/>
  <c r="Y45" i="30"/>
  <c r="U45" i="30"/>
  <c r="AE45" i="30"/>
  <c r="AD45" i="30"/>
  <c r="Z45" i="30"/>
  <c r="AN45" i="30"/>
  <c r="AB45" i="30"/>
  <c r="W45" i="30"/>
  <c r="AU45" i="30"/>
  <c r="AK45" i="30"/>
  <c r="AO45" i="30"/>
  <c r="Q45" i="30" l="1"/>
  <c r="AJ45" i="30" s="1"/>
  <c r="AV46" i="30"/>
  <c r="AE46" i="30"/>
  <c r="X46" i="30"/>
  <c r="AM46" i="30"/>
  <c r="AA46" i="30"/>
  <c r="Y46" i="30"/>
  <c r="AQ46" i="30"/>
  <c r="AY46" i="30"/>
  <c r="Z46" i="30"/>
  <c r="R46" i="30"/>
  <c r="AS46" i="30"/>
  <c r="AG46" i="30"/>
  <c r="AX46" i="30"/>
  <c r="T46" i="30"/>
  <c r="AW46" i="30"/>
  <c r="AR46" i="30"/>
  <c r="AO46" i="30"/>
  <c r="AL46" i="30"/>
  <c r="AC46" i="30"/>
  <c r="AB46" i="30"/>
  <c r="AK46" i="30"/>
  <c r="V46" i="30"/>
  <c r="AD46" i="30"/>
  <c r="AT46" i="30"/>
  <c r="AZ46" i="30"/>
  <c r="AP46" i="30"/>
  <c r="S46" i="30"/>
  <c r="AU46" i="30"/>
  <c r="AN46" i="30"/>
  <c r="U46" i="30"/>
  <c r="W46" i="30"/>
  <c r="AF46" i="30"/>
  <c r="Q46" i="30" l="1"/>
  <c r="AJ46" i="30" s="1"/>
  <c r="Z47" i="30"/>
  <c r="AG47" i="30"/>
  <c r="AQ47" i="30"/>
  <c r="AN47" i="30"/>
  <c r="AY47" i="30"/>
  <c r="AK47" i="30"/>
  <c r="AM47" i="30"/>
  <c r="AV47" i="30"/>
  <c r="R47" i="30"/>
  <c r="AZ47" i="30"/>
  <c r="AO47" i="30"/>
  <c r="AU47" i="30"/>
  <c r="AE47" i="30"/>
  <c r="AF47" i="30"/>
  <c r="U47" i="30"/>
  <c r="AD47" i="30"/>
  <c r="S47" i="30"/>
  <c r="AR47" i="30"/>
  <c r="AC47" i="30"/>
  <c r="AP47" i="30"/>
  <c r="AS47" i="30"/>
  <c r="AL47" i="30"/>
  <c r="AX47" i="30"/>
  <c r="X47" i="30"/>
  <c r="AT47" i="30"/>
  <c r="W47" i="30"/>
  <c r="AA47" i="30"/>
  <c r="V47" i="30"/>
  <c r="Y47" i="30"/>
  <c r="AW47" i="30"/>
  <c r="AB47" i="30"/>
  <c r="T47" i="30"/>
  <c r="Q47" i="30" l="1"/>
  <c r="AJ47" i="30" s="1"/>
  <c r="AF48" i="30"/>
  <c r="AT48" i="30"/>
  <c r="V48" i="30"/>
  <c r="T48" i="30"/>
  <c r="S48" i="30"/>
  <c r="AO48" i="30"/>
  <c r="AN48" i="30"/>
  <c r="U48" i="30"/>
  <c r="X48" i="30"/>
  <c r="AQ48" i="30"/>
  <c r="AV48" i="30"/>
  <c r="AY48" i="30"/>
  <c r="AM48" i="30"/>
  <c r="AX48" i="30"/>
  <c r="AE48" i="30"/>
  <c r="AB48" i="30"/>
  <c r="AD48" i="30"/>
  <c r="Z48" i="30"/>
  <c r="AG48" i="30"/>
  <c r="AK48" i="30"/>
  <c r="AL48" i="30"/>
  <c r="AZ48" i="30"/>
  <c r="AS48" i="30"/>
  <c r="AC48" i="30"/>
  <c r="R48" i="30"/>
  <c r="AP48" i="30"/>
  <c r="AW48" i="30"/>
  <c r="AR48" i="30"/>
  <c r="AA48" i="30"/>
  <c r="Y48" i="30"/>
  <c r="AU48" i="30"/>
  <c r="W48" i="30"/>
  <c r="Q48" i="30" l="1"/>
  <c r="AJ48" i="30" s="1"/>
  <c r="S49" i="30"/>
  <c r="AS49" i="30"/>
  <c r="AF49" i="30"/>
  <c r="AY49" i="30"/>
  <c r="T49" i="30"/>
  <c r="AU49" i="30"/>
  <c r="AV49" i="30"/>
  <c r="AC49" i="30"/>
  <c r="AA49" i="30"/>
  <c r="AQ49" i="30"/>
  <c r="U49" i="30"/>
  <c r="AT49" i="30"/>
  <c r="AW49" i="30"/>
  <c r="AK49" i="30"/>
  <c r="AR49" i="30"/>
  <c r="AP49" i="30"/>
  <c r="AE49" i="30"/>
  <c r="AM49" i="30"/>
  <c r="Z49" i="30"/>
  <c r="V49" i="30"/>
  <c r="AZ49" i="30"/>
  <c r="AL49" i="30"/>
  <c r="AO49" i="30"/>
  <c r="Y49" i="30"/>
  <c r="R49" i="30"/>
  <c r="AG49" i="30"/>
  <c r="AX49" i="30"/>
  <c r="AD49" i="30"/>
  <c r="X49" i="30"/>
  <c r="AB49" i="30"/>
  <c r="AN49" i="30"/>
  <c r="W49" i="30"/>
  <c r="Q49" i="30" l="1"/>
  <c r="AJ49" i="30" s="1"/>
  <c r="AX50" i="30"/>
  <c r="AF50" i="30"/>
  <c r="AN50" i="30"/>
  <c r="V50" i="30"/>
  <c r="AR50" i="30"/>
  <c r="Y50" i="30"/>
  <c r="AY50" i="30"/>
  <c r="AW50" i="30"/>
  <c r="AU50" i="30"/>
  <c r="R50" i="30"/>
  <c r="AV50" i="30"/>
  <c r="U50" i="30"/>
  <c r="T50" i="30"/>
  <c r="AO50" i="30"/>
  <c r="AM50" i="30"/>
  <c r="AQ50" i="30"/>
  <c r="AB50" i="30"/>
  <c r="AS50" i="30"/>
  <c r="W50" i="30"/>
  <c r="AZ50" i="30"/>
  <c r="AK50" i="30"/>
  <c r="X50" i="30"/>
  <c r="AG50" i="30"/>
  <c r="AL50" i="30"/>
  <c r="S50" i="30"/>
  <c r="AP50" i="30"/>
  <c r="AC50" i="30"/>
  <c r="AT50" i="30"/>
  <c r="Z50" i="30"/>
  <c r="AE50" i="30"/>
  <c r="AA50" i="30"/>
  <c r="AD50" i="30"/>
  <c r="Q50" i="30" l="1"/>
  <c r="AJ50" i="30" s="1"/>
  <c r="AF51" i="30"/>
  <c r="AK51" i="30"/>
  <c r="V51" i="30"/>
  <c r="W51" i="30"/>
  <c r="AY51" i="30"/>
  <c r="AD51" i="30"/>
  <c r="AG51" i="30"/>
  <c r="AT51" i="30"/>
  <c r="AB51" i="30"/>
  <c r="AE51" i="30"/>
  <c r="AO51" i="30"/>
  <c r="R51" i="30"/>
  <c r="AQ51" i="30"/>
  <c r="AL51" i="30"/>
  <c r="AP51" i="30"/>
  <c r="AM51" i="30"/>
  <c r="Z51" i="30"/>
  <c r="S51" i="30"/>
  <c r="AA51" i="30"/>
  <c r="AU51" i="30"/>
  <c r="AV51" i="30"/>
  <c r="AN51" i="30"/>
  <c r="AW51" i="30"/>
  <c r="AX51" i="30"/>
  <c r="T51" i="30"/>
  <c r="AZ51" i="30"/>
  <c r="AS51" i="30"/>
  <c r="X51" i="30"/>
  <c r="U51" i="30"/>
  <c r="AC51" i="30"/>
  <c r="AR51" i="30"/>
  <c r="Y51" i="30"/>
  <c r="Q51" i="30" l="1"/>
  <c r="AJ51" i="30" s="1"/>
  <c r="AZ52" i="30"/>
  <c r="AE52" i="30"/>
  <c r="AM52" i="30"/>
  <c r="T52" i="30"/>
  <c r="R52" i="30"/>
  <c r="AG52" i="30"/>
  <c r="AX52" i="30"/>
  <c r="V52" i="30"/>
  <c r="AW52" i="30"/>
  <c r="AD52" i="30"/>
  <c r="AK52" i="30"/>
  <c r="AA52" i="30"/>
  <c r="AO52" i="30"/>
  <c r="AV52" i="30"/>
  <c r="U52" i="30"/>
  <c r="AP52" i="30"/>
  <c r="W52" i="30"/>
  <c r="AR52" i="30"/>
  <c r="S52" i="30"/>
  <c r="AB52" i="30"/>
  <c r="AQ52" i="30"/>
  <c r="AT52" i="30"/>
  <c r="AU52" i="30"/>
  <c r="Y52" i="30"/>
  <c r="X52" i="30"/>
  <c r="AF52" i="30"/>
  <c r="AS52" i="30"/>
  <c r="AY52" i="30"/>
  <c r="AC52" i="30"/>
  <c r="AL52" i="30"/>
  <c r="Z52" i="30"/>
  <c r="AN52" i="30"/>
  <c r="Q52" i="30" l="1"/>
  <c r="AJ52" i="30" s="1"/>
  <c r="AS53" i="30"/>
  <c r="AB53" i="30"/>
  <c r="V53" i="30"/>
  <c r="AQ53" i="30"/>
  <c r="AK53" i="30"/>
  <c r="AY53" i="30"/>
  <c r="AM53" i="30"/>
  <c r="AW53" i="30"/>
  <c r="S53" i="30"/>
  <c r="AR53" i="30"/>
  <c r="W53" i="30"/>
  <c r="AG53" i="30"/>
  <c r="Z53" i="30"/>
  <c r="AE53" i="30"/>
  <c r="Y53" i="30"/>
  <c r="AD53" i="30"/>
  <c r="U53" i="30"/>
  <c r="AN53" i="30"/>
  <c r="AZ53" i="30"/>
  <c r="AU53" i="30"/>
  <c r="X53" i="30"/>
  <c r="AA53" i="30"/>
  <c r="AP53" i="30"/>
  <c r="AC53" i="30"/>
  <c r="AT53" i="30"/>
  <c r="AL53" i="30"/>
  <c r="AO53" i="30"/>
  <c r="AF53" i="30"/>
  <c r="T53" i="30"/>
  <c r="AX53" i="30"/>
  <c r="AV53" i="30"/>
  <c r="R53" i="30"/>
  <c r="Q53" i="30" l="1"/>
  <c r="AJ53" i="30" s="1"/>
  <c r="AC54" i="30"/>
  <c r="AE54" i="30"/>
  <c r="V54" i="30"/>
  <c r="AM54" i="30"/>
  <c r="AZ54" i="30"/>
  <c r="S54" i="30"/>
  <c r="AU54" i="30"/>
  <c r="AW54" i="30"/>
  <c r="AF54" i="30"/>
  <c r="X54" i="30"/>
  <c r="AB54" i="30"/>
  <c r="AL54" i="30"/>
  <c r="AX54" i="30"/>
  <c r="AP54" i="30"/>
  <c r="U54" i="30"/>
  <c r="AN54" i="30"/>
  <c r="AO54" i="30"/>
  <c r="AV54" i="30"/>
  <c r="AA54" i="30"/>
  <c r="AQ54" i="30"/>
  <c r="AD54" i="30"/>
  <c r="AS54" i="30"/>
  <c r="AT54" i="30"/>
  <c r="R54" i="30"/>
  <c r="Y54" i="30"/>
  <c r="AY54" i="30"/>
  <c r="T54" i="30"/>
  <c r="AR54" i="30"/>
  <c r="AK54" i="30"/>
  <c r="W54" i="30"/>
  <c r="AG54" i="30"/>
  <c r="Z54" i="30"/>
  <c r="Q54" i="30" l="1"/>
  <c r="AJ54" i="30" s="1"/>
  <c r="AS55" i="30"/>
  <c r="AE55" i="30"/>
  <c r="AP55" i="30"/>
  <c r="U55" i="30"/>
  <c r="AR55" i="30"/>
  <c r="T55" i="30"/>
  <c r="R55" i="30"/>
  <c r="AL55" i="30"/>
  <c r="AU55" i="30"/>
  <c r="AF55" i="30"/>
  <c r="AG55" i="30"/>
  <c r="AN55" i="30"/>
  <c r="AV55" i="30"/>
  <c r="AT55" i="30"/>
  <c r="AO55" i="30"/>
  <c r="X55" i="30"/>
  <c r="AQ55" i="30"/>
  <c r="V55" i="30"/>
  <c r="AM55" i="30"/>
  <c r="AX55" i="30"/>
  <c r="S55" i="30"/>
  <c r="AK55" i="30"/>
  <c r="AD55" i="30"/>
  <c r="Y55" i="30"/>
  <c r="AZ55" i="30"/>
  <c r="Z55" i="30"/>
  <c r="AW55" i="30"/>
  <c r="AC55" i="30"/>
  <c r="AB55" i="30"/>
  <c r="W55" i="30"/>
  <c r="AA55" i="30"/>
  <c r="AY55" i="30"/>
  <c r="Q55" i="30" l="1"/>
  <c r="AJ55" i="30" s="1"/>
  <c r="S56" i="30"/>
  <c r="Z56" i="30"/>
  <c r="W56" i="30"/>
  <c r="V56" i="30"/>
  <c r="AS56" i="30"/>
  <c r="AZ56" i="30"/>
  <c r="AN56" i="30"/>
  <c r="AW56" i="30"/>
  <c r="AA56" i="30"/>
  <c r="AR56" i="30"/>
  <c r="X56" i="30"/>
  <c r="AX56" i="30"/>
  <c r="R56" i="30"/>
  <c r="U56" i="30"/>
  <c r="AT56" i="30"/>
  <c r="T56" i="30"/>
  <c r="AK56" i="30"/>
  <c r="AG56" i="30"/>
  <c r="AM56" i="30"/>
  <c r="AV56" i="30"/>
  <c r="AC56" i="30"/>
  <c r="AL56" i="30"/>
  <c r="AO56" i="30"/>
  <c r="AD56" i="30"/>
  <c r="AB56" i="30"/>
  <c r="AE56" i="30"/>
  <c r="AF56" i="30"/>
  <c r="Y56" i="30"/>
  <c r="AQ56" i="30"/>
  <c r="AP56" i="30"/>
  <c r="AY56" i="30"/>
  <c r="AU56" i="30"/>
  <c r="Q56" i="30" l="1"/>
  <c r="AJ56" i="30" s="1"/>
  <c r="AA57" i="30"/>
  <c r="AR57" i="30"/>
  <c r="T57" i="30"/>
  <c r="AP57" i="30"/>
  <c r="AL57" i="30"/>
  <c r="AD57" i="30"/>
  <c r="AE57" i="30"/>
  <c r="U57" i="30"/>
  <c r="Y57" i="30"/>
  <c r="AU57" i="30"/>
  <c r="AT57" i="30"/>
  <c r="V57" i="30"/>
  <c r="AK57" i="30"/>
  <c r="AN57" i="30"/>
  <c r="AO57" i="30"/>
  <c r="AS57" i="30"/>
  <c r="AC57" i="30"/>
  <c r="W57" i="30"/>
  <c r="AV57" i="30"/>
  <c r="AZ57" i="30"/>
  <c r="X57" i="30"/>
  <c r="AY57" i="30"/>
  <c r="AG57" i="30"/>
  <c r="AQ57" i="30"/>
  <c r="AM57" i="30"/>
  <c r="AX57" i="30"/>
  <c r="Z57" i="30"/>
  <c r="R57" i="30"/>
  <c r="AW57" i="30"/>
  <c r="S57" i="30"/>
  <c r="AB57" i="30"/>
  <c r="AF57" i="30"/>
  <c r="Q57" i="30" l="1"/>
  <c r="AJ57" i="30" s="1"/>
  <c r="AB58" i="30"/>
  <c r="AV58" i="30"/>
  <c r="X58" i="30"/>
  <c r="AO58" i="30"/>
  <c r="AU58" i="30"/>
  <c r="AA58" i="30"/>
  <c r="V58" i="30"/>
  <c r="AL58" i="30"/>
  <c r="Y58" i="30"/>
  <c r="AN58" i="30"/>
  <c r="Z58" i="30"/>
  <c r="U58" i="30"/>
  <c r="AZ58" i="30"/>
  <c r="AS58" i="30"/>
  <c r="S58" i="30"/>
  <c r="AW58" i="30"/>
  <c r="AE58" i="30"/>
  <c r="AK58" i="30"/>
  <c r="AM58" i="30"/>
  <c r="AX58" i="30"/>
  <c r="AQ58" i="30"/>
  <c r="AY58" i="30"/>
  <c r="AP58" i="30"/>
  <c r="AR58" i="30"/>
  <c r="T58" i="30"/>
  <c r="AC58" i="30"/>
  <c r="AD58" i="30"/>
  <c r="AT58" i="30"/>
  <c r="R58" i="30"/>
  <c r="AF58" i="30"/>
  <c r="AG58" i="30"/>
  <c r="W58" i="30"/>
  <c r="Q58" i="30" l="1"/>
  <c r="AJ58" i="30" s="1"/>
  <c r="AT59" i="30"/>
  <c r="AC59" i="30"/>
  <c r="AU59" i="30"/>
  <c r="W59" i="30"/>
  <c r="AK59" i="30"/>
  <c r="AQ59" i="30"/>
  <c r="Y59" i="30"/>
  <c r="AP59" i="30"/>
  <c r="AX59" i="30"/>
  <c r="X59" i="30"/>
  <c r="AR59" i="30"/>
  <c r="AM59" i="30"/>
  <c r="AL59" i="30"/>
  <c r="V59" i="30"/>
  <c r="T59" i="30"/>
  <c r="AW59" i="30"/>
  <c r="AN59" i="30"/>
  <c r="R59" i="30"/>
  <c r="AY59" i="30"/>
  <c r="Z59" i="30"/>
  <c r="S59" i="30"/>
  <c r="AA59" i="30"/>
  <c r="AE59" i="30"/>
  <c r="AV59" i="30"/>
  <c r="AB59" i="30"/>
  <c r="AG59" i="30"/>
  <c r="AO59" i="30"/>
  <c r="AZ59" i="30"/>
  <c r="U59" i="30"/>
  <c r="AF59" i="30"/>
  <c r="AD59" i="30"/>
  <c r="AS59" i="30"/>
  <c r="Q59" i="30" l="1"/>
  <c r="AJ59" i="30" s="1"/>
  <c r="S60" i="30"/>
  <c r="AS60" i="30"/>
  <c r="AM60" i="30"/>
  <c r="U60" i="30"/>
  <c r="AD60" i="30"/>
  <c r="AQ60" i="30"/>
  <c r="AC60" i="30"/>
  <c r="T60" i="30"/>
  <c r="AR60" i="30"/>
  <c r="AN60" i="30"/>
  <c r="AE60" i="30"/>
  <c r="X60" i="30"/>
  <c r="AX60" i="30"/>
  <c r="AP60" i="30"/>
  <c r="R60" i="30"/>
  <c r="V60" i="30"/>
  <c r="AW60" i="30"/>
  <c r="AK60" i="30"/>
  <c r="AF60" i="30"/>
  <c r="W60" i="30"/>
  <c r="AY60" i="30"/>
  <c r="AL60" i="30"/>
  <c r="AU60" i="30"/>
  <c r="AA60" i="30"/>
  <c r="Y60" i="30"/>
  <c r="AV60" i="30"/>
  <c r="AG60" i="30"/>
  <c r="AZ60" i="30"/>
  <c r="AB60" i="30"/>
  <c r="AT60" i="30"/>
  <c r="Z60" i="30"/>
  <c r="AO60" i="30"/>
  <c r="Q60" i="30" l="1"/>
  <c r="AJ60" i="30" s="1"/>
  <c r="AC61" i="30"/>
  <c r="R61" i="30"/>
  <c r="AM61" i="30"/>
  <c r="V61" i="30"/>
  <c r="AG61" i="30"/>
  <c r="AF61" i="30"/>
  <c r="AD61" i="30"/>
  <c r="U61" i="30"/>
  <c r="Y61" i="30"/>
  <c r="AE61" i="30"/>
  <c r="AP61" i="30"/>
  <c r="AK61" i="30"/>
  <c r="AX61" i="30"/>
  <c r="AA61" i="30"/>
  <c r="AW61" i="30"/>
  <c r="Z61" i="30"/>
  <c r="AU61" i="30"/>
  <c r="W61" i="30"/>
  <c r="AN61" i="30"/>
  <c r="X61" i="30"/>
  <c r="S61" i="30"/>
  <c r="AO61" i="30"/>
  <c r="AT61" i="30"/>
  <c r="AS61" i="30"/>
  <c r="T61" i="30"/>
  <c r="AY61" i="30"/>
  <c r="AZ61" i="30"/>
  <c r="AB61" i="30"/>
  <c r="AQ61" i="30"/>
  <c r="AL61" i="30"/>
  <c r="AV61" i="30"/>
  <c r="AR61" i="30"/>
  <c r="Q61" i="30" l="1"/>
  <c r="AJ61" i="30" s="1"/>
  <c r="AD62" i="30"/>
  <c r="AW62" i="30"/>
  <c r="X62" i="30"/>
  <c r="W62" i="30"/>
  <c r="AC62" i="30"/>
  <c r="AA62" i="30"/>
  <c r="AF62" i="30"/>
  <c r="U62" i="30"/>
  <c r="AE62" i="30"/>
  <c r="AV62" i="30"/>
  <c r="V62" i="30"/>
  <c r="AK62" i="30"/>
  <c r="AZ62" i="30"/>
  <c r="AM62" i="30"/>
  <c r="AU62" i="30"/>
  <c r="T62" i="30"/>
  <c r="AX62" i="30"/>
  <c r="AO62" i="30"/>
  <c r="AQ62" i="30"/>
  <c r="AT62" i="30"/>
  <c r="AY62" i="30"/>
  <c r="AB62" i="30"/>
  <c r="Y62" i="30"/>
  <c r="AS62" i="30"/>
  <c r="S62" i="30"/>
  <c r="AL62" i="30"/>
  <c r="AG62" i="30"/>
  <c r="AP62" i="30"/>
  <c r="AN62" i="30"/>
  <c r="Z62" i="30"/>
  <c r="R62" i="30"/>
  <c r="AR62" i="30"/>
  <c r="Q62" i="30" l="1"/>
  <c r="AJ62" i="30" s="1"/>
  <c r="AC63" i="30"/>
  <c r="AE63" i="30"/>
  <c r="AO63" i="30"/>
  <c r="U63" i="30"/>
  <c r="AF63" i="30"/>
  <c r="AW63" i="30"/>
  <c r="R63" i="30"/>
  <c r="V63" i="30"/>
  <c r="AX63" i="30"/>
  <c r="S63" i="30"/>
  <c r="AT63" i="30"/>
  <c r="Y63" i="30"/>
  <c r="AU63" i="30"/>
  <c r="AS63" i="30"/>
  <c r="X63" i="30"/>
  <c r="W63" i="30"/>
  <c r="AK63" i="30"/>
  <c r="Z63" i="30"/>
  <c r="AY63" i="30"/>
  <c r="AQ63" i="30"/>
  <c r="AD63" i="30"/>
  <c r="AN63" i="30"/>
  <c r="AR63" i="30"/>
  <c r="AM63" i="30"/>
  <c r="T63" i="30"/>
  <c r="AA63" i="30"/>
  <c r="AP63" i="30"/>
  <c r="AV63" i="30"/>
  <c r="AZ63" i="30"/>
  <c r="AG63" i="30"/>
  <c r="AL63" i="30"/>
  <c r="AB63" i="30"/>
  <c r="Q63" i="30" l="1"/>
  <c r="AJ63" i="30" s="1"/>
  <c r="Z64" i="30"/>
  <c r="R64" i="30"/>
  <c r="AQ64" i="30"/>
  <c r="T64" i="30"/>
  <c r="AY64" i="30"/>
  <c r="Y64" i="30"/>
  <c r="AZ64" i="30"/>
  <c r="X64" i="30"/>
  <c r="AS64" i="30"/>
  <c r="AL64" i="30"/>
  <c r="AN64" i="30"/>
  <c r="AM64" i="30"/>
  <c r="AB64" i="30"/>
  <c r="AU64" i="30"/>
  <c r="S64" i="30"/>
  <c r="AD64" i="30"/>
  <c r="U64" i="30"/>
  <c r="AW64" i="30"/>
  <c r="AR64" i="30"/>
  <c r="AC64" i="30"/>
  <c r="AA64" i="30"/>
  <c r="AG64" i="30"/>
  <c r="AV64" i="30"/>
  <c r="AO64" i="30"/>
  <c r="AF64" i="30"/>
  <c r="W64" i="30"/>
  <c r="AK64" i="30"/>
  <c r="V64" i="30"/>
  <c r="AX64" i="30"/>
  <c r="AE64" i="30"/>
  <c r="AT64" i="30"/>
  <c r="AP64" i="30"/>
  <c r="Q64" i="30" l="1"/>
  <c r="AJ64" i="30" s="1"/>
  <c r="AK65" i="30"/>
  <c r="AX65" i="30"/>
  <c r="T65" i="30"/>
  <c r="V65" i="30"/>
  <c r="AT65" i="30"/>
  <c r="AY65" i="30"/>
  <c r="AQ65" i="30"/>
  <c r="AU65" i="30"/>
  <c r="AN65" i="30"/>
  <c r="AZ65" i="30"/>
  <c r="AC65" i="30"/>
  <c r="U65" i="30"/>
  <c r="AP65" i="30"/>
  <c r="AO65" i="30"/>
  <c r="AL65" i="30"/>
  <c r="AA65" i="30"/>
  <c r="X65" i="30"/>
  <c r="Z65" i="30"/>
  <c r="AF65" i="30"/>
  <c r="AV65" i="30"/>
  <c r="AS65" i="30"/>
  <c r="W65" i="30"/>
  <c r="AB65" i="30"/>
  <c r="AW65" i="30"/>
  <c r="AE65" i="30"/>
  <c r="Y65" i="30"/>
  <c r="S65" i="30"/>
  <c r="AD65" i="30"/>
  <c r="AM65" i="30"/>
  <c r="AG65" i="30"/>
  <c r="AR65" i="30"/>
  <c r="R65" i="30"/>
  <c r="Q65" i="30" l="1"/>
  <c r="AJ65" i="30" s="1"/>
  <c r="AE66" i="30"/>
  <c r="AB66" i="30"/>
  <c r="AN66" i="30"/>
  <c r="W66" i="30"/>
  <c r="AX66" i="30"/>
  <c r="AD66" i="30"/>
  <c r="AW66" i="30"/>
  <c r="AM66" i="30"/>
  <c r="AZ66" i="30"/>
  <c r="AL66" i="30"/>
  <c r="AO66" i="30"/>
  <c r="AY66" i="30"/>
  <c r="V66" i="30"/>
  <c r="AK66" i="30"/>
  <c r="AS66" i="30"/>
  <c r="S66" i="30"/>
  <c r="AP66" i="30"/>
  <c r="X66" i="30"/>
  <c r="AA66" i="30"/>
  <c r="AF66" i="30"/>
  <c r="AQ66" i="30"/>
  <c r="Y66" i="30"/>
  <c r="Z66" i="30"/>
  <c r="AG66" i="30"/>
  <c r="AT66" i="30"/>
  <c r="U66" i="30"/>
  <c r="R66" i="30"/>
  <c r="AV66" i="30"/>
  <c r="T66" i="30"/>
  <c r="AC66" i="30"/>
  <c r="AU66" i="30"/>
  <c r="AR66" i="30"/>
  <c r="Q66" i="30" l="1"/>
  <c r="AJ66" i="30" s="1"/>
  <c r="AX67" i="30"/>
  <c r="AC67" i="30"/>
  <c r="W67" i="30"/>
  <c r="AP67" i="30"/>
  <c r="AY67" i="30"/>
  <c r="AF67" i="30"/>
  <c r="V67" i="30"/>
  <c r="AR67" i="30"/>
  <c r="AO67" i="30"/>
  <c r="AS67" i="30"/>
  <c r="AQ67" i="30"/>
  <c r="AD67" i="30"/>
  <c r="AA67" i="30"/>
  <c r="AK67" i="30"/>
  <c r="AG67" i="30"/>
  <c r="AZ67" i="30"/>
  <c r="U67" i="30"/>
  <c r="S67" i="30"/>
  <c r="Z67" i="30"/>
  <c r="AE67" i="30"/>
  <c r="AU67" i="30"/>
  <c r="Y67" i="30"/>
  <c r="T67" i="30"/>
  <c r="X67" i="30"/>
  <c r="AB67" i="30"/>
  <c r="AN67" i="30"/>
  <c r="AT67" i="30"/>
  <c r="AM67" i="30"/>
  <c r="AV67" i="30"/>
  <c r="AL67" i="30"/>
  <c r="AW67" i="30"/>
  <c r="R67" i="30"/>
  <c r="Q67" i="30" l="1"/>
  <c r="AJ67" i="30" s="1"/>
  <c r="AX68" i="30"/>
  <c r="R68" i="30"/>
  <c r="AO68" i="30"/>
  <c r="U68" i="30"/>
  <c r="Y68" i="30"/>
  <c r="AW68" i="30"/>
  <c r="AK68" i="30"/>
  <c r="V68" i="30"/>
  <c r="AN68" i="30"/>
  <c r="AT68" i="30"/>
  <c r="T68" i="30"/>
  <c r="AZ68" i="30"/>
  <c r="AC68" i="30"/>
  <c r="AS68" i="30"/>
  <c r="S68" i="30"/>
  <c r="AR68" i="30"/>
  <c r="AV68" i="30"/>
  <c r="AP68" i="30"/>
  <c r="AA68" i="30"/>
  <c r="AL68" i="30"/>
  <c r="AM68" i="30"/>
  <c r="AU68" i="30"/>
  <c r="Z68" i="30"/>
  <c r="AE68" i="30"/>
  <c r="AD68" i="30"/>
  <c r="AB68" i="30"/>
  <c r="AG68" i="30"/>
  <c r="AQ68" i="30"/>
  <c r="AF68" i="30"/>
  <c r="AY68" i="30"/>
  <c r="W68" i="30"/>
  <c r="X68" i="30"/>
  <c r="Q68" i="30" l="1"/>
  <c r="AJ68" i="30" s="1"/>
  <c r="AL69" i="30"/>
  <c r="Y69" i="30"/>
  <c r="AO69" i="30"/>
  <c r="T69" i="30"/>
  <c r="AX69" i="30"/>
  <c r="AK69" i="30"/>
  <c r="AY69" i="30"/>
  <c r="X69" i="30"/>
  <c r="AS69" i="30"/>
  <c r="AB69" i="30"/>
  <c r="AV69" i="30"/>
  <c r="AQ69" i="30"/>
  <c r="AT69" i="30"/>
  <c r="AD69" i="30"/>
  <c r="AA69" i="30"/>
  <c r="AM69" i="30"/>
  <c r="AF69" i="30"/>
  <c r="AU69" i="30"/>
  <c r="R69" i="30"/>
  <c r="U69" i="30"/>
  <c r="AG69" i="30"/>
  <c r="Z69" i="30"/>
  <c r="S69" i="30"/>
  <c r="AP69" i="30"/>
  <c r="AW69" i="30"/>
  <c r="AE69" i="30"/>
  <c r="AZ69" i="30"/>
  <c r="AN69" i="30"/>
  <c r="AC69" i="30"/>
  <c r="AR69" i="30"/>
  <c r="W69" i="30"/>
  <c r="V69" i="30"/>
  <c r="Q69" i="30" l="1"/>
  <c r="AJ69" i="30" s="1"/>
  <c r="Y70" i="30"/>
  <c r="AT70" i="30"/>
  <c r="V70" i="30"/>
  <c r="AM70" i="30"/>
  <c r="AU70" i="30"/>
  <c r="AS70" i="30"/>
  <c r="U70" i="30"/>
  <c r="AF70" i="30"/>
  <c r="AZ70" i="30"/>
  <c r="R70" i="30"/>
  <c r="AV70" i="30"/>
  <c r="X70" i="30"/>
  <c r="AA70" i="30"/>
  <c r="AW70" i="30"/>
  <c r="AB70" i="30"/>
  <c r="AO70" i="30"/>
  <c r="AE70" i="30"/>
  <c r="AQ70" i="30"/>
  <c r="AX70" i="30"/>
  <c r="AC70" i="30"/>
  <c r="AK70" i="30"/>
  <c r="AN70" i="30"/>
  <c r="S70" i="30"/>
  <c r="Z70" i="30"/>
  <c r="AY70" i="30"/>
  <c r="AG70" i="30"/>
  <c r="AR70" i="30"/>
  <c r="W70" i="30"/>
  <c r="AD70" i="30"/>
  <c r="AL70" i="30"/>
  <c r="T70" i="30"/>
  <c r="AP70" i="30"/>
  <c r="Q70" i="30" l="1"/>
  <c r="AJ70" i="30" s="1"/>
  <c r="AS71" i="30"/>
  <c r="AU71" i="30"/>
  <c r="AN71" i="30"/>
  <c r="AM71" i="30"/>
  <c r="AK71" i="30"/>
  <c r="AA71" i="30"/>
  <c r="W71" i="30"/>
  <c r="AT71" i="30"/>
  <c r="S71" i="30"/>
  <c r="T71" i="30"/>
  <c r="AR71" i="30"/>
  <c r="AQ71" i="30"/>
  <c r="AD71" i="30"/>
  <c r="AO71" i="30"/>
  <c r="AZ71" i="30"/>
  <c r="AY71" i="30"/>
  <c r="AF71" i="30"/>
  <c r="AB71" i="30"/>
  <c r="X71" i="30"/>
  <c r="AC71" i="30"/>
  <c r="V71" i="30"/>
  <c r="Z71" i="30"/>
  <c r="AG71" i="30"/>
  <c r="U71" i="30"/>
  <c r="AP71" i="30"/>
  <c r="AX71" i="30"/>
  <c r="AV71" i="30"/>
  <c r="AW71" i="30"/>
  <c r="R71" i="30"/>
  <c r="Y71" i="30"/>
  <c r="AL71" i="30"/>
  <c r="AE71" i="30"/>
  <c r="Q71" i="30" l="1"/>
  <c r="AJ71" i="30" s="1"/>
  <c r="AS72" i="30"/>
  <c r="Z72" i="30"/>
  <c r="AM72" i="30"/>
  <c r="U72" i="30"/>
  <c r="AW72" i="30"/>
  <c r="S72" i="30"/>
  <c r="Y72" i="30"/>
  <c r="V72" i="30"/>
  <c r="AB72" i="30"/>
  <c r="X72" i="30"/>
  <c r="AL72" i="30"/>
  <c r="AE72" i="30"/>
  <c r="AQ72" i="30"/>
  <c r="AT72" i="30"/>
  <c r="W72" i="30"/>
  <c r="AC72" i="30"/>
  <c r="AK72" i="30"/>
  <c r="AF72" i="30"/>
  <c r="AY72" i="30"/>
  <c r="AX72" i="30"/>
  <c r="AO72" i="30"/>
  <c r="AZ72" i="30"/>
  <c r="AA72" i="30"/>
  <c r="AR72" i="30"/>
  <c r="AG72" i="30"/>
  <c r="AU72" i="30"/>
  <c r="AV72" i="30"/>
  <c r="R72" i="30"/>
  <c r="AD72" i="30"/>
  <c r="AP72" i="30"/>
  <c r="T72" i="30"/>
  <c r="AN72" i="30"/>
  <c r="Q72" i="30" l="1"/>
  <c r="AJ72" i="30" s="1"/>
  <c r="R73" i="30"/>
  <c r="AG73" i="30"/>
  <c r="V73" i="30"/>
  <c r="AQ73" i="30"/>
  <c r="AX73" i="30"/>
  <c r="W73" i="30"/>
  <c r="AS73" i="30"/>
  <c r="AM73" i="30"/>
  <c r="S73" i="30"/>
  <c r="X73" i="30"/>
  <c r="AZ73" i="30"/>
  <c r="T73" i="30"/>
  <c r="AC73" i="30"/>
  <c r="AF73" i="30"/>
  <c r="AP73" i="30"/>
  <c r="AE73" i="30"/>
  <c r="AY73" i="30"/>
  <c r="AD73" i="30"/>
  <c r="AO73" i="30"/>
  <c r="Y73" i="30"/>
  <c r="AR73" i="30"/>
  <c r="Z73" i="30"/>
  <c r="AB73" i="30"/>
  <c r="AL73" i="30"/>
  <c r="AU73" i="30"/>
  <c r="AV73" i="30"/>
  <c r="AA73" i="30"/>
  <c r="AT73" i="30"/>
  <c r="AK73" i="30"/>
  <c r="U73" i="30"/>
  <c r="AW73" i="30"/>
  <c r="AN73" i="30"/>
  <c r="Q73" i="30" l="1"/>
  <c r="AJ73" i="30" s="1"/>
  <c r="S74" i="30"/>
  <c r="AX74" i="30"/>
  <c r="U74" i="30"/>
  <c r="AQ74" i="30"/>
  <c r="AR74" i="30"/>
  <c r="AA74" i="30"/>
  <c r="AU74" i="30"/>
  <c r="AM74" i="30"/>
  <c r="Y74" i="30"/>
  <c r="AE74" i="30"/>
  <c r="AP74" i="30"/>
  <c r="AO74" i="30"/>
  <c r="AV74" i="30"/>
  <c r="AY74" i="30"/>
  <c r="AL74" i="30"/>
  <c r="AS74" i="30"/>
  <c r="AZ74" i="30"/>
  <c r="AK74" i="30"/>
  <c r="AN74" i="30"/>
  <c r="V74" i="30"/>
  <c r="T74" i="30"/>
  <c r="Z74" i="30"/>
  <c r="AT74" i="30"/>
  <c r="AC74" i="30"/>
  <c r="X74" i="30"/>
  <c r="AF74" i="30"/>
  <c r="AD74" i="30"/>
  <c r="AB74" i="30"/>
  <c r="W74" i="30"/>
  <c r="AW74" i="30"/>
  <c r="AG74" i="30"/>
  <c r="R74" i="30"/>
  <c r="Q74" i="30" l="1"/>
  <c r="AJ74" i="30" s="1"/>
  <c r="AY75" i="30"/>
  <c r="Z75" i="30"/>
  <c r="T75" i="30"/>
  <c r="AN75" i="30"/>
  <c r="AK75" i="30"/>
  <c r="AE75" i="30"/>
  <c r="W75" i="30"/>
  <c r="AF75" i="30"/>
  <c r="AS75" i="30"/>
  <c r="AC75" i="30"/>
  <c r="AR75" i="30"/>
  <c r="X75" i="30"/>
  <c r="AL75" i="30"/>
  <c r="R75" i="30"/>
  <c r="AA75" i="30"/>
  <c r="Y75" i="30"/>
  <c r="AV75" i="30"/>
  <c r="AM75" i="30"/>
  <c r="AZ75" i="30"/>
  <c r="AQ75" i="30"/>
  <c r="AW75" i="30"/>
  <c r="AO75" i="30"/>
  <c r="AP75" i="30"/>
  <c r="S75" i="30"/>
  <c r="AB75" i="30"/>
  <c r="AU75" i="30"/>
  <c r="AG75" i="30"/>
  <c r="AT75" i="30"/>
  <c r="V75" i="30"/>
  <c r="AX75" i="30"/>
  <c r="AD75" i="30"/>
  <c r="U75" i="30"/>
  <c r="Q75" i="30" l="1"/>
  <c r="AJ75" i="30" s="1"/>
  <c r="AG76" i="30"/>
  <c r="AR76" i="30"/>
  <c r="T76" i="30"/>
  <c r="AM76" i="30"/>
  <c r="Z76" i="30"/>
  <c r="AS76" i="30"/>
  <c r="AB76" i="30"/>
  <c r="AP76" i="30"/>
  <c r="AV76" i="30"/>
  <c r="AL76" i="30"/>
  <c r="AD76" i="30"/>
  <c r="AA76" i="30"/>
  <c r="AO76" i="30"/>
  <c r="AN76" i="30"/>
  <c r="AK76" i="30"/>
  <c r="Y76" i="30"/>
  <c r="U76" i="30"/>
  <c r="AE76" i="30"/>
  <c r="AX76" i="30"/>
  <c r="AC76" i="30"/>
  <c r="AU76" i="30"/>
  <c r="AZ76" i="30"/>
  <c r="AW76" i="30"/>
  <c r="AF76" i="30"/>
  <c r="X76" i="30"/>
  <c r="R76" i="30"/>
  <c r="AY76" i="30"/>
  <c r="W76" i="30"/>
  <c r="S76" i="30"/>
  <c r="AT76" i="30"/>
  <c r="AQ76" i="30"/>
  <c r="V76" i="30"/>
  <c r="Q76" i="30" l="1"/>
  <c r="AJ76" i="30" s="1"/>
  <c r="R77" i="30"/>
  <c r="AZ77" i="30"/>
  <c r="W77" i="30"/>
  <c r="AP77" i="30"/>
  <c r="AW77" i="30"/>
  <c r="V77" i="30"/>
  <c r="AF77" i="30"/>
  <c r="AL77" i="30"/>
  <c r="AM77" i="30"/>
  <c r="AS77" i="30"/>
  <c r="T77" i="30"/>
  <c r="AA77" i="30"/>
  <c r="AN77" i="30"/>
  <c r="AK77" i="30"/>
  <c r="AE77" i="30"/>
  <c r="X77" i="30"/>
  <c r="AT77" i="30"/>
  <c r="S77" i="30"/>
  <c r="AX77" i="30"/>
  <c r="AD77" i="30"/>
  <c r="AR77" i="30"/>
  <c r="AV77" i="30"/>
  <c r="U77" i="30"/>
  <c r="AC77" i="30"/>
  <c r="AU77" i="30"/>
  <c r="Z77" i="30"/>
  <c r="AB77" i="30"/>
  <c r="AY77" i="30"/>
  <c r="AG77" i="30"/>
  <c r="Y77" i="30"/>
  <c r="AQ77" i="30"/>
  <c r="AO77" i="30"/>
  <c r="Q77" i="30" l="1"/>
  <c r="AJ77" i="30" s="1"/>
  <c r="AX78" i="30"/>
  <c r="AR78" i="30"/>
  <c r="T78" i="30"/>
  <c r="AP78" i="30"/>
  <c r="AF78" i="30"/>
  <c r="Z78" i="30"/>
  <c r="X78" i="30"/>
  <c r="AB78" i="30"/>
  <c r="AG78" i="30"/>
  <c r="AN78" i="30"/>
  <c r="AD78" i="30"/>
  <c r="AK78" i="30"/>
  <c r="W78" i="30"/>
  <c r="AC78" i="30"/>
  <c r="AE78" i="30"/>
  <c r="V78" i="30"/>
  <c r="R78" i="30"/>
  <c r="AM78" i="30"/>
  <c r="AO78" i="30"/>
  <c r="AS78" i="30"/>
  <c r="AZ78" i="30"/>
  <c r="Y78" i="30"/>
  <c r="AW78" i="30"/>
  <c r="AT78" i="30"/>
  <c r="U78" i="30"/>
  <c r="AU78" i="30"/>
  <c r="S78" i="30"/>
  <c r="AY78" i="30"/>
  <c r="AA78" i="30"/>
  <c r="AL78" i="30"/>
  <c r="AQ78" i="30"/>
  <c r="AV78" i="30"/>
  <c r="Q78" i="30" l="1"/>
  <c r="AJ78" i="30" s="1"/>
  <c r="AU79" i="30"/>
  <c r="Y79" i="30"/>
  <c r="W79" i="30"/>
  <c r="AN79" i="30"/>
  <c r="Z79" i="30"/>
  <c r="AR79" i="30"/>
  <c r="AO79" i="30"/>
  <c r="AG79" i="30"/>
  <c r="V79" i="30"/>
  <c r="AQ79" i="30"/>
  <c r="AT79" i="30"/>
  <c r="R79" i="30"/>
  <c r="X79" i="30"/>
  <c r="AE79" i="30"/>
  <c r="AV79" i="30"/>
  <c r="AA79" i="30"/>
  <c r="AC79" i="30"/>
  <c r="AD79" i="30"/>
  <c r="AZ79" i="30"/>
  <c r="AL79" i="30"/>
  <c r="AX79" i="30"/>
  <c r="AF79" i="30"/>
  <c r="AK79" i="30"/>
  <c r="AY79" i="30"/>
  <c r="S79" i="30"/>
  <c r="AW79" i="30"/>
  <c r="AS79" i="30"/>
  <c r="AM79" i="30"/>
  <c r="AB79" i="30"/>
  <c r="U79" i="30"/>
  <c r="T79" i="30"/>
  <c r="AP79" i="30"/>
  <c r="Q79" i="30" l="1"/>
  <c r="AJ79" i="30" s="1"/>
  <c r="AS80" i="30"/>
  <c r="AE80" i="30"/>
  <c r="W80" i="30"/>
  <c r="T80" i="30"/>
  <c r="AR80" i="30"/>
  <c r="AQ80" i="30"/>
  <c r="AL80" i="30"/>
  <c r="X80" i="30"/>
  <c r="U80" i="30"/>
  <c r="S80" i="30"/>
  <c r="AN80" i="30"/>
  <c r="AA80" i="30"/>
  <c r="AK80" i="30"/>
  <c r="AB80" i="30"/>
  <c r="AG80" i="30"/>
  <c r="AF80" i="30"/>
  <c r="AW80" i="30"/>
  <c r="AT80" i="30"/>
  <c r="AX80" i="30"/>
  <c r="AO80" i="30"/>
  <c r="AU80" i="30"/>
  <c r="AV80" i="30"/>
  <c r="AP80" i="30"/>
  <c r="AC80" i="30"/>
  <c r="R80" i="30"/>
  <c r="V80" i="30"/>
  <c r="AY80" i="30"/>
  <c r="AZ80" i="30"/>
  <c r="Y80" i="30"/>
  <c r="Z80" i="30"/>
  <c r="AD80" i="30"/>
  <c r="AM80" i="30"/>
  <c r="Q80" i="30" l="1"/>
  <c r="AJ80" i="30" s="1"/>
  <c r="AL81" i="30"/>
  <c r="AG81" i="30"/>
  <c r="AM81" i="30"/>
  <c r="X81" i="30"/>
  <c r="AY81" i="30"/>
  <c r="AU81" i="30"/>
  <c r="AB81" i="30"/>
  <c r="R81" i="30"/>
  <c r="V81" i="30"/>
  <c r="AX81" i="30"/>
  <c r="Y81" i="30"/>
  <c r="AR81" i="30"/>
  <c r="AD81" i="30"/>
  <c r="U81" i="30"/>
  <c r="AC81" i="30"/>
  <c r="AQ81" i="30"/>
  <c r="AS81" i="30"/>
  <c r="AV81" i="30"/>
  <c r="W81" i="30"/>
  <c r="AO81" i="30"/>
  <c r="AP81" i="30"/>
  <c r="T81" i="30"/>
  <c r="AN81" i="30"/>
  <c r="AE81" i="30"/>
  <c r="AZ81" i="30"/>
  <c r="Z81" i="30"/>
  <c r="AK81" i="30"/>
  <c r="AA81" i="30"/>
  <c r="S81" i="30"/>
  <c r="AT81" i="30"/>
  <c r="AF81" i="30"/>
  <c r="AW81" i="30"/>
  <c r="Q81" i="30" l="1"/>
  <c r="AJ81" i="30" s="1"/>
  <c r="AS82" i="30"/>
  <c r="AG82" i="30"/>
  <c r="AO82" i="30"/>
  <c r="X82" i="30"/>
  <c r="AB82" i="30"/>
  <c r="T82" i="30"/>
  <c r="R82" i="30"/>
  <c r="W82" i="30"/>
  <c r="AT82" i="30"/>
  <c r="AP82" i="30"/>
  <c r="AK82" i="30"/>
  <c r="U82" i="30"/>
  <c r="AD82" i="30"/>
  <c r="AQ82" i="30"/>
  <c r="AX82" i="30"/>
  <c r="AN82" i="30"/>
  <c r="AA82" i="30"/>
  <c r="AV82" i="30"/>
  <c r="Y82" i="30"/>
  <c r="V82" i="30"/>
  <c r="AC82" i="30"/>
  <c r="AF82" i="30"/>
  <c r="AE82" i="30"/>
  <c r="AL82" i="30"/>
  <c r="AW82" i="30"/>
  <c r="AY82" i="30"/>
  <c r="AZ82" i="30"/>
  <c r="S82" i="30"/>
  <c r="AR82" i="30"/>
  <c r="AU82" i="30"/>
  <c r="Z82" i="30"/>
  <c r="AM82" i="30"/>
  <c r="Q82" i="30" l="1"/>
  <c r="AJ82" i="30" s="1"/>
  <c r="R83" i="30"/>
  <c r="AS83" i="30"/>
  <c r="T83" i="30"/>
  <c r="AQ83" i="30"/>
  <c r="AR83" i="30"/>
  <c r="AE83" i="30"/>
  <c r="AW83" i="30"/>
  <c r="AT83" i="30"/>
  <c r="W83" i="30"/>
  <c r="AZ83" i="30"/>
  <c r="AL83" i="30"/>
  <c r="S83" i="30"/>
  <c r="AC83" i="30"/>
  <c r="AM83" i="30"/>
  <c r="AY83" i="30"/>
  <c r="AN83" i="30"/>
  <c r="AD83" i="30"/>
  <c r="AV83" i="30"/>
  <c r="V83" i="30"/>
  <c r="AK83" i="30"/>
  <c r="AG83" i="30"/>
  <c r="AP83" i="30"/>
  <c r="U83" i="30"/>
  <c r="Y83" i="30"/>
  <c r="AF83" i="30"/>
  <c r="AU83" i="30"/>
  <c r="AO83" i="30"/>
  <c r="X83" i="30"/>
  <c r="AB83" i="30"/>
  <c r="AX83" i="30"/>
  <c r="Z83" i="30"/>
  <c r="AA83" i="30"/>
  <c r="Q83" i="30" l="1"/>
  <c r="AJ83" i="30" s="1"/>
  <c r="AW84" i="30"/>
  <c r="AF84" i="30"/>
  <c r="AQ84" i="30"/>
  <c r="V84" i="30"/>
  <c r="AD84" i="30"/>
  <c r="AA84" i="30"/>
  <c r="AO84" i="30"/>
  <c r="AV84" i="30"/>
  <c r="AG84" i="30"/>
  <c r="AM84" i="30"/>
  <c r="AZ84" i="30"/>
  <c r="AE84" i="30"/>
  <c r="AT84" i="30"/>
  <c r="Z84" i="30"/>
  <c r="AL84" i="30"/>
  <c r="Y84" i="30"/>
  <c r="S84" i="30"/>
  <c r="AS84" i="30"/>
  <c r="AX84" i="30"/>
  <c r="AP84" i="30"/>
  <c r="X84" i="30"/>
  <c r="AY84" i="30"/>
  <c r="AR84" i="30"/>
  <c r="AC84" i="30"/>
  <c r="AB84" i="30"/>
  <c r="AU84" i="30"/>
  <c r="U84" i="30"/>
  <c r="R84" i="30"/>
  <c r="AN84" i="30"/>
  <c r="W84" i="30"/>
  <c r="AK84" i="30"/>
  <c r="T84" i="30"/>
  <c r="Q84" i="30" l="1"/>
  <c r="AJ84" i="30" s="1"/>
  <c r="Y85" i="30"/>
  <c r="AD85" i="30"/>
  <c r="AM85" i="30"/>
  <c r="AN85" i="30"/>
  <c r="AX85" i="30"/>
  <c r="AV85" i="30"/>
  <c r="AO85" i="30"/>
  <c r="AZ85" i="30"/>
  <c r="AB85" i="30"/>
  <c r="V85" i="30"/>
  <c r="AS85" i="30"/>
  <c r="AK85" i="30"/>
  <c r="Z85" i="30"/>
  <c r="AC85" i="30"/>
  <c r="AL85" i="30"/>
  <c r="AY85" i="30"/>
  <c r="R85" i="30"/>
  <c r="S85" i="30"/>
  <c r="AP85" i="30"/>
  <c r="T85" i="30"/>
  <c r="AA85" i="30"/>
  <c r="AF85" i="30"/>
  <c r="AW85" i="30"/>
  <c r="U85" i="30"/>
  <c r="AT85" i="30"/>
  <c r="AG85" i="30"/>
  <c r="X85" i="30"/>
  <c r="AR85" i="30"/>
  <c r="AQ85" i="30"/>
  <c r="W85" i="30"/>
  <c r="AU85" i="30"/>
  <c r="AE85" i="30"/>
  <c r="Q85" i="30" l="1"/>
  <c r="AJ85" i="30" s="1"/>
  <c r="AV86" i="30"/>
  <c r="AW86" i="30"/>
  <c r="AP86" i="30"/>
  <c r="V86" i="30"/>
  <c r="AC86" i="30"/>
  <c r="AE86" i="30"/>
  <c r="AU86" i="30"/>
  <c r="T86" i="30"/>
  <c r="Z86" i="30"/>
  <c r="R86" i="30"/>
  <c r="X86" i="30"/>
  <c r="Y86" i="30"/>
  <c r="AZ86" i="30"/>
  <c r="AN86" i="30"/>
  <c r="AB86" i="30"/>
  <c r="AM86" i="30"/>
  <c r="AO86" i="30"/>
  <c r="W86" i="30"/>
  <c r="AK86" i="30"/>
  <c r="AA86" i="30"/>
  <c r="AG86" i="30"/>
  <c r="AR86" i="30"/>
  <c r="AL86" i="30"/>
  <c r="AQ86" i="30"/>
  <c r="AX86" i="30"/>
  <c r="S86" i="30"/>
  <c r="U86" i="30"/>
  <c r="AS86" i="30"/>
  <c r="AY86" i="30"/>
  <c r="AD86" i="30"/>
  <c r="AT86" i="30"/>
  <c r="AF86" i="30"/>
  <c r="Q86" i="30" l="1"/>
  <c r="AJ86" i="30" s="1"/>
  <c r="AY87" i="30"/>
  <c r="AC87" i="30"/>
  <c r="T87" i="30"/>
  <c r="AM87" i="30"/>
  <c r="AW87" i="30"/>
  <c r="AT87" i="30"/>
  <c r="AQ87" i="30"/>
  <c r="AB87" i="30"/>
  <c r="AF87" i="30"/>
  <c r="AV87" i="30"/>
  <c r="S87" i="30"/>
  <c r="AL87" i="30"/>
  <c r="AE87" i="30"/>
  <c r="Z87" i="30"/>
  <c r="X87" i="30"/>
  <c r="AA87" i="30"/>
  <c r="U87" i="30"/>
  <c r="AD87" i="30"/>
  <c r="AZ87" i="30"/>
  <c r="W87" i="30"/>
  <c r="AG87" i="30"/>
  <c r="AP87" i="30"/>
  <c r="V87" i="30"/>
  <c r="R87" i="30"/>
  <c r="AR87" i="30"/>
  <c r="AU87" i="30"/>
  <c r="AX87" i="30"/>
  <c r="AO87" i="30"/>
  <c r="Y87" i="30"/>
  <c r="AK87" i="30"/>
  <c r="AS87" i="30"/>
  <c r="AN87" i="30"/>
  <c r="Q87" i="30" l="1"/>
  <c r="AJ87" i="30" s="1"/>
  <c r="AG88" i="30"/>
  <c r="AB88" i="30"/>
  <c r="X88" i="30"/>
  <c r="AN88" i="30"/>
  <c r="Z88" i="30"/>
  <c r="V88" i="30"/>
  <c r="W88" i="30"/>
  <c r="S88" i="30"/>
  <c r="AD88" i="30"/>
  <c r="AS88" i="30"/>
  <c r="AA88" i="30"/>
  <c r="AV88" i="30"/>
  <c r="AF88" i="30"/>
  <c r="AO88" i="30"/>
  <c r="AZ88" i="30"/>
  <c r="R88" i="30"/>
  <c r="AL88" i="30"/>
  <c r="AX88" i="30"/>
  <c r="AU88" i="30"/>
  <c r="AT88" i="30"/>
  <c r="AE88" i="30"/>
  <c r="AK88" i="30"/>
  <c r="Y88" i="30"/>
  <c r="AW88" i="30"/>
  <c r="AY88" i="30"/>
  <c r="U88" i="30"/>
  <c r="AM88" i="30"/>
  <c r="AQ88" i="30"/>
  <c r="T88" i="30"/>
  <c r="AC88" i="30"/>
  <c r="AR88" i="30"/>
  <c r="AP88" i="30"/>
  <c r="Q88" i="30" l="1"/>
  <c r="AJ88" i="30" s="1"/>
  <c r="AK89" i="30"/>
  <c r="AS89" i="30"/>
  <c r="T89" i="30"/>
  <c r="AO89" i="30"/>
  <c r="R89" i="30"/>
  <c r="AZ89" i="30"/>
  <c r="U89" i="30"/>
  <c r="AY89" i="30"/>
  <c r="AT89" i="30"/>
  <c r="AN89" i="30"/>
  <c r="AL89" i="30"/>
  <c r="AC89" i="30"/>
  <c r="AE89" i="30"/>
  <c r="W89" i="30"/>
  <c r="Z89" i="30"/>
  <c r="AP89" i="30"/>
  <c r="AD89" i="30"/>
  <c r="AA89" i="30"/>
  <c r="AQ89" i="30"/>
  <c r="AU89" i="30"/>
  <c r="AR89" i="30"/>
  <c r="S89" i="30"/>
  <c r="AV89" i="30"/>
  <c r="AG89" i="30"/>
  <c r="AB89" i="30"/>
  <c r="AM89" i="30"/>
  <c r="AW89" i="30"/>
  <c r="Y89" i="30"/>
  <c r="AF89" i="30"/>
  <c r="AX89" i="30"/>
  <c r="V89" i="30"/>
  <c r="X89" i="30"/>
  <c r="Q89" i="30" l="1"/>
  <c r="AJ89" i="30" s="1"/>
  <c r="AS90" i="30"/>
  <c r="AK90" i="30"/>
  <c r="T90" i="30"/>
  <c r="AP90" i="30"/>
  <c r="AB90" i="30"/>
  <c r="U90" i="30"/>
  <c r="AV90" i="30"/>
  <c r="V90" i="30"/>
  <c r="AF90" i="30"/>
  <c r="W90" i="30"/>
  <c r="AA90" i="30"/>
  <c r="AN90" i="30"/>
  <c r="AX90" i="30"/>
  <c r="AQ90" i="30"/>
  <c r="Z90" i="30"/>
  <c r="AM90" i="30"/>
  <c r="AC90" i="30"/>
  <c r="AU90" i="30"/>
  <c r="S90" i="30"/>
  <c r="X90" i="30"/>
  <c r="AR90" i="30"/>
  <c r="AW90" i="30"/>
  <c r="AZ90" i="30"/>
  <c r="AL90" i="30"/>
  <c r="Y90" i="30"/>
  <c r="AE90" i="30"/>
  <c r="AT90" i="30"/>
  <c r="AD90" i="30"/>
  <c r="AG90" i="30"/>
  <c r="R90" i="30"/>
  <c r="AY90" i="30"/>
  <c r="AO90" i="30"/>
  <c r="Q90" i="30" l="1"/>
  <c r="AJ90" i="30" s="1"/>
  <c r="AE91" i="30"/>
  <c r="AR91" i="30"/>
  <c r="X91" i="30"/>
  <c r="AQ91" i="30"/>
  <c r="AC91" i="30"/>
  <c r="U91" i="30"/>
  <c r="AA91" i="30"/>
  <c r="W91" i="30"/>
  <c r="AB91" i="30"/>
  <c r="AD91" i="30"/>
  <c r="AK91" i="30"/>
  <c r="R91" i="30"/>
  <c r="AF91" i="30"/>
  <c r="AG91" i="30"/>
  <c r="V91" i="30"/>
  <c r="AN91" i="30"/>
  <c r="T91" i="30"/>
  <c r="Y91" i="30"/>
  <c r="AW91" i="30"/>
  <c r="AP91" i="30"/>
  <c r="AL91" i="30"/>
  <c r="AY91" i="30"/>
  <c r="S91" i="30"/>
  <c r="AO91" i="30"/>
  <c r="AV91" i="30"/>
  <c r="AX91" i="30"/>
  <c r="AU91" i="30"/>
  <c r="AZ91" i="30"/>
  <c r="AS91" i="30"/>
  <c r="AM91" i="30"/>
  <c r="Z91" i="30"/>
  <c r="AT91" i="30"/>
  <c r="Q91" i="30" l="1"/>
  <c r="AJ91" i="30" s="1"/>
  <c r="AW92" i="30"/>
  <c r="AG92" i="30"/>
  <c r="AD92" i="30"/>
  <c r="S92" i="30"/>
  <c r="W92" i="30"/>
  <c r="Z92" i="30"/>
  <c r="T92" i="30"/>
  <c r="AT92" i="30"/>
  <c r="AX92" i="30"/>
  <c r="AA92" i="30"/>
  <c r="X92" i="30"/>
  <c r="AR92" i="30"/>
  <c r="AU92" i="30"/>
  <c r="AV92" i="30"/>
  <c r="AY92" i="30"/>
  <c r="AQ92" i="30"/>
  <c r="AK92" i="30"/>
  <c r="AO92" i="30"/>
  <c r="Y92" i="30"/>
  <c r="AN92" i="30"/>
  <c r="AM92" i="30"/>
  <c r="AS92" i="30"/>
  <c r="AB92" i="30"/>
  <c r="AP92" i="30"/>
  <c r="AC92" i="30"/>
  <c r="R92" i="30"/>
  <c r="AZ92" i="30"/>
  <c r="AF92" i="30"/>
  <c r="AE92" i="30"/>
  <c r="AL92" i="30"/>
  <c r="V92" i="30"/>
  <c r="U92" i="30"/>
  <c r="Q92" i="30" l="1"/>
  <c r="AJ92" i="30" s="1"/>
  <c r="AF93" i="30"/>
  <c r="AT93" i="30"/>
  <c r="V93" i="30"/>
  <c r="AN93" i="30"/>
  <c r="AA93" i="30"/>
  <c r="AG93" i="30"/>
  <c r="AS93" i="30"/>
  <c r="AX93" i="30"/>
  <c r="AE93" i="30"/>
  <c r="AP93" i="30"/>
  <c r="AO93" i="30"/>
  <c r="AM93" i="30"/>
  <c r="AK93" i="30"/>
  <c r="AV93" i="30"/>
  <c r="W93" i="30"/>
  <c r="AQ93" i="30"/>
  <c r="X93" i="30"/>
  <c r="U93" i="30"/>
  <c r="AW93" i="30"/>
  <c r="AC93" i="30"/>
  <c r="T93" i="30"/>
  <c r="Y93" i="30"/>
  <c r="AR93" i="30"/>
  <c r="AB93" i="30"/>
  <c r="AY93" i="30"/>
  <c r="AD93" i="30"/>
  <c r="AU93" i="30"/>
  <c r="R93" i="30"/>
  <c r="AZ93" i="30"/>
  <c r="Z93" i="30"/>
  <c r="S93" i="30"/>
  <c r="AL93" i="30"/>
  <c r="Q93" i="30" l="1"/>
  <c r="AJ93" i="30" s="1"/>
  <c r="AR94" i="30"/>
  <c r="AC94" i="30"/>
  <c r="T94" i="30"/>
  <c r="W94" i="30"/>
  <c r="AA94" i="30"/>
  <c r="AT94" i="30"/>
  <c r="R94" i="30"/>
  <c r="AM94" i="30"/>
  <c r="Y94" i="30"/>
  <c r="AL94" i="30"/>
  <c r="AB94" i="30"/>
  <c r="AX94" i="30"/>
  <c r="AQ94" i="30"/>
  <c r="Z94" i="30"/>
  <c r="AZ94" i="30"/>
  <c r="AV94" i="30"/>
  <c r="U94" i="30"/>
  <c r="V94" i="30"/>
  <c r="AN94" i="30"/>
  <c r="AO94" i="30"/>
  <c r="AE94" i="30"/>
  <c r="AS94" i="30"/>
  <c r="AD94" i="30"/>
  <c r="AU94" i="30"/>
  <c r="AP94" i="30"/>
  <c r="AW94" i="30"/>
  <c r="AK94" i="30"/>
  <c r="X94" i="30"/>
  <c r="AF94" i="30"/>
  <c r="S94" i="30"/>
  <c r="AY94" i="30"/>
  <c r="AG94" i="30"/>
  <c r="Q94" i="30" l="1"/>
  <c r="AJ94" i="30" s="1"/>
  <c r="AE95" i="30"/>
  <c r="AB95" i="30"/>
  <c r="W95" i="30"/>
  <c r="V95" i="30"/>
  <c r="AY95" i="30"/>
  <c r="AL95" i="30"/>
  <c r="U95" i="30"/>
  <c r="AD95" i="30"/>
  <c r="AA95" i="30"/>
  <c r="AW95" i="30"/>
  <c r="Y95" i="30"/>
  <c r="X95" i="30"/>
  <c r="AZ95" i="30"/>
  <c r="T95" i="30"/>
  <c r="Z95" i="30"/>
  <c r="AM95" i="30"/>
  <c r="AS95" i="30"/>
  <c r="AF95" i="30"/>
  <c r="S95" i="30"/>
  <c r="AC95" i="30"/>
  <c r="AQ95" i="30"/>
  <c r="AN95" i="30"/>
  <c r="AR95" i="30"/>
  <c r="AP95" i="30"/>
  <c r="AO95" i="30"/>
  <c r="AK95" i="30"/>
  <c r="AX95" i="30"/>
  <c r="AT95" i="30"/>
  <c r="AV95" i="30"/>
  <c r="AG95" i="30"/>
  <c r="R95" i="30"/>
  <c r="AU95" i="30"/>
  <c r="Q95" i="30" l="1"/>
  <c r="AJ95" i="30" s="1"/>
  <c r="AY96" i="30"/>
  <c r="AU96" i="30"/>
  <c r="AQ96" i="30"/>
  <c r="AP96" i="30"/>
  <c r="AT96" i="30"/>
  <c r="AG96" i="30"/>
  <c r="Z96" i="30"/>
  <c r="AC96" i="30"/>
  <c r="AV96" i="30"/>
  <c r="S96" i="30"/>
  <c r="AN96" i="30"/>
  <c r="AO96" i="30"/>
  <c r="AX96" i="30"/>
  <c r="AD96" i="30"/>
  <c r="W96" i="30"/>
  <c r="AK96" i="30"/>
  <c r="V96" i="30"/>
  <c r="R96" i="30"/>
  <c r="AZ96" i="30"/>
  <c r="Y96" i="30"/>
  <c r="AF96" i="30"/>
  <c r="X96" i="30"/>
  <c r="AA96" i="30"/>
  <c r="AE96" i="30"/>
  <c r="T96" i="30"/>
  <c r="AR96" i="30"/>
  <c r="AB96" i="30"/>
  <c r="AL96" i="30"/>
  <c r="AM96" i="30"/>
  <c r="AS96" i="30"/>
  <c r="AW96" i="30"/>
  <c r="U96" i="30"/>
  <c r="Q96" i="30" l="1"/>
  <c r="AJ96" i="30" s="1"/>
  <c r="AA97" i="30"/>
  <c r="AF97" i="30"/>
  <c r="W97" i="30"/>
  <c r="AQ97" i="30"/>
  <c r="AV97" i="30"/>
  <c r="AR97" i="30"/>
  <c r="AB97" i="30"/>
  <c r="T97" i="30"/>
  <c r="AO97" i="30"/>
  <c r="AC97" i="30"/>
  <c r="AX97" i="30"/>
  <c r="AL97" i="30"/>
  <c r="AN97" i="30"/>
  <c r="Y97" i="30"/>
  <c r="AW97" i="30"/>
  <c r="AS97" i="30"/>
  <c r="AM97" i="30"/>
  <c r="AD97" i="30"/>
  <c r="Z97" i="30"/>
  <c r="AU97" i="30"/>
  <c r="V97" i="30"/>
  <c r="AZ97" i="30"/>
  <c r="AE97" i="30"/>
  <c r="R97" i="30"/>
  <c r="X97" i="30"/>
  <c r="AY97" i="30"/>
  <c r="S97" i="30"/>
  <c r="AK97" i="30"/>
  <c r="U97" i="30"/>
  <c r="AT97" i="30"/>
  <c r="AG97" i="30"/>
  <c r="AP97" i="30"/>
  <c r="Q97" i="30" l="1"/>
  <c r="AJ97" i="30" s="1"/>
  <c r="AB98" i="30"/>
  <c r="AF98" i="30"/>
  <c r="X98" i="30"/>
  <c r="W98" i="30"/>
  <c r="Y98" i="30"/>
  <c r="AZ98" i="30"/>
  <c r="AM98" i="30"/>
  <c r="AL98" i="30"/>
  <c r="AD98" i="30"/>
  <c r="AU98" i="30"/>
  <c r="AW98" i="30"/>
  <c r="V98" i="30"/>
  <c r="AE98" i="30"/>
  <c r="Z98" i="30"/>
  <c r="R98" i="30"/>
  <c r="AC98" i="30"/>
  <c r="AO98" i="30"/>
  <c r="AX98" i="30"/>
  <c r="T98" i="30"/>
  <c r="S98" i="30"/>
  <c r="AG98" i="30"/>
  <c r="AS98" i="30"/>
  <c r="AT98" i="30"/>
  <c r="AA98" i="30"/>
  <c r="U98" i="30"/>
  <c r="AV98" i="30"/>
  <c r="AR98" i="30"/>
  <c r="AK98" i="30"/>
  <c r="AP98" i="30"/>
  <c r="AQ98" i="30"/>
  <c r="AY98" i="30"/>
  <c r="AN98" i="30"/>
  <c r="Q98" i="30" l="1"/>
  <c r="AJ98" i="30" s="1"/>
  <c r="AL99" i="30"/>
  <c r="S99" i="30"/>
  <c r="W99" i="30"/>
  <c r="AO99" i="30"/>
  <c r="R99" i="30"/>
  <c r="X99" i="30"/>
  <c r="AN99" i="30"/>
  <c r="AM99" i="30"/>
  <c r="AC99" i="30"/>
  <c r="AK99" i="30"/>
  <c r="AD99" i="30"/>
  <c r="AS99" i="30"/>
  <c r="AR99" i="30"/>
  <c r="U99" i="30"/>
  <c r="Z99" i="30"/>
  <c r="AW99" i="30"/>
  <c r="AQ99" i="30"/>
  <c r="AX99" i="30"/>
  <c r="Y99" i="30"/>
  <c r="AZ99" i="30"/>
  <c r="AT99" i="30"/>
  <c r="AB99" i="30"/>
  <c r="V99" i="30"/>
  <c r="T99" i="30"/>
  <c r="AU99" i="30"/>
  <c r="AY99" i="30"/>
  <c r="AE99" i="30"/>
  <c r="AV99" i="30"/>
  <c r="AA99" i="30"/>
  <c r="AG99" i="30"/>
  <c r="AP99" i="30"/>
  <c r="AF99" i="30"/>
  <c r="Q99" i="30" l="1"/>
  <c r="AJ99" i="30" s="1"/>
  <c r="AK100" i="30"/>
  <c r="AR100" i="30"/>
  <c r="AO100" i="30"/>
  <c r="U100" i="30"/>
  <c r="AG100" i="30"/>
  <c r="AT100" i="30"/>
  <c r="R100" i="30"/>
  <c r="AN100" i="30"/>
  <c r="Z100" i="30"/>
  <c r="AU100" i="30"/>
  <c r="AL100" i="30"/>
  <c r="AX100" i="30"/>
  <c r="V100" i="30"/>
  <c r="AS100" i="30"/>
  <c r="S100" i="30"/>
  <c r="AA100" i="30"/>
  <c r="AP100" i="30"/>
  <c r="AV100" i="30"/>
  <c r="AC100" i="30"/>
  <c r="AY100" i="30"/>
  <c r="W100" i="30"/>
  <c r="AW100" i="30"/>
  <c r="AB100" i="30"/>
  <c r="AD100" i="30"/>
  <c r="AM100" i="30"/>
  <c r="AZ100" i="30"/>
  <c r="T100" i="30"/>
  <c r="AE100" i="30"/>
  <c r="AF100" i="30"/>
  <c r="AQ100" i="30"/>
  <c r="Y100" i="30"/>
  <c r="X100" i="30"/>
  <c r="Q100" i="30" l="1"/>
  <c r="AJ100" i="30" s="1"/>
  <c r="S101" i="30"/>
  <c r="R101" i="30"/>
  <c r="X101" i="30"/>
  <c r="AN101" i="30"/>
  <c r="AY101" i="30"/>
  <c r="AD101" i="30"/>
  <c r="T101" i="30"/>
  <c r="Z101" i="30"/>
  <c r="AT101" i="30"/>
  <c r="AM101" i="30"/>
  <c r="AL101" i="30"/>
  <c r="AP101" i="30"/>
  <c r="AU101" i="30"/>
  <c r="W101" i="30"/>
  <c r="AO101" i="30"/>
  <c r="V101" i="30"/>
  <c r="U101" i="30"/>
  <c r="AV101" i="30"/>
  <c r="AK101" i="30"/>
  <c r="AB101" i="30"/>
  <c r="AX101" i="30"/>
  <c r="AR101" i="30"/>
  <c r="AC101" i="30"/>
  <c r="AF101" i="30"/>
  <c r="AQ101" i="30"/>
  <c r="AW101" i="30"/>
  <c r="AZ101" i="30"/>
  <c r="Y101" i="30"/>
  <c r="AE101" i="30"/>
  <c r="AG101" i="30"/>
  <c r="AA101" i="30"/>
  <c r="AS101" i="30"/>
  <c r="Q101" i="30" l="1"/>
  <c r="AJ101" i="30" s="1"/>
  <c r="AU102" i="30"/>
  <c r="AX102" i="30"/>
  <c r="X102" i="30"/>
  <c r="W102" i="30"/>
  <c r="R102" i="30"/>
  <c r="T102" i="30"/>
  <c r="AC102" i="30"/>
  <c r="AM102" i="30"/>
  <c r="S102" i="30"/>
  <c r="V102" i="30"/>
  <c r="AD102" i="30"/>
  <c r="AN102" i="30"/>
  <c r="AR102" i="30"/>
  <c r="AO102" i="30"/>
  <c r="AB102" i="30"/>
  <c r="AQ102" i="30"/>
  <c r="Y102" i="30"/>
  <c r="Z102" i="30"/>
  <c r="AV102" i="30"/>
  <c r="U102" i="30"/>
  <c r="AA102" i="30"/>
  <c r="AK102" i="30"/>
  <c r="AT102" i="30"/>
  <c r="AG102" i="30"/>
  <c r="AZ102" i="30"/>
  <c r="AY102" i="30"/>
  <c r="AW102" i="30"/>
  <c r="AE102" i="30"/>
  <c r="AF102" i="30"/>
  <c r="AS102" i="30"/>
  <c r="AL102" i="30"/>
  <c r="AP102" i="30"/>
  <c r="Q102" i="30" l="1"/>
  <c r="AJ102" i="30" s="1"/>
</calcChain>
</file>

<file path=xl/sharedStrings.xml><?xml version="1.0" encoding="utf-8"?>
<sst xmlns="http://schemas.openxmlformats.org/spreadsheetml/2006/main" count="204" uniqueCount="163">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</sst>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20k,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36.850881130747325</c:v>
                </c:pt>
                <c:pt idx="1">
                  <c:v>36.850881130747325</c:v>
                </c:pt>
                <c:pt idx="2">
                  <c:v>36.850881130747325</c:v>
                </c:pt>
                <c:pt idx="3">
                  <c:v>36.850881130747325</c:v>
                </c:pt>
                <c:pt idx="4">
                  <c:v>36.850881130747325</c:v>
                </c:pt>
                <c:pt idx="5">
                  <c:v>36.850881130747325</c:v>
                </c:pt>
                <c:pt idx="6">
                  <c:v>36.850881130747325</c:v>
                </c:pt>
                <c:pt idx="7">
                  <c:v>36.850881130747325</c:v>
                </c:pt>
                <c:pt idx="8">
                  <c:v>36.850881130747325</c:v>
                </c:pt>
                <c:pt idx="9">
                  <c:v>36.850881130747325</c:v>
                </c:pt>
                <c:pt idx="10">
                  <c:v>36.850881130747325</c:v>
                </c:pt>
                <c:pt idx="11">
                  <c:v>36.850881130747325</c:v>
                </c:pt>
                <c:pt idx="12">
                  <c:v>36.850881130747325</c:v>
                </c:pt>
                <c:pt idx="13">
                  <c:v>36.850881130747325</c:v>
                </c:pt>
                <c:pt idx="14">
                  <c:v>36.097305855368631</c:v>
                </c:pt>
                <c:pt idx="15">
                  <c:v>32.330649349632679</c:v>
                </c:pt>
                <c:pt idx="16">
                  <c:v>28.96108951755448</c:v>
                </c:pt>
                <c:pt idx="17">
                  <c:v>25.928975304084865</c:v>
                </c:pt>
                <c:pt idx="18">
                  <c:v>23.186033483032251</c:v>
                </c:pt>
                <c:pt idx="19">
                  <c:v>20.692779371351886</c:v>
                </c:pt>
                <c:pt idx="20">
                  <c:v>18.416603862614224</c:v>
                </c:pt>
                <c:pt idx="21">
                  <c:v>16.330339281082185</c:v>
                </c:pt>
                <c:pt idx="22">
                  <c:v>14.411169830817371</c:v>
                </c:pt>
                <c:pt idx="23">
                  <c:v>12.639793760562409</c:v>
                </c:pt>
                <c:pt idx="24">
                  <c:v>10.99977191453611</c:v>
                </c:pt>
                <c:pt idx="25">
                  <c:v>9.477016024319008</c:v>
                </c:pt>
                <c:pt idx="26">
                  <c:v>8.0593829774333905</c:v>
                </c:pt>
                <c:pt idx="27">
                  <c:v>6.7363503107792351</c:v>
                </c:pt>
                <c:pt idx="28">
                  <c:v>5.4987545706435306</c:v>
                </c:pt>
                <c:pt idx="29">
                  <c:v>4.338578774737508</c:v>
                </c:pt>
                <c:pt idx="30">
                  <c:v>3.2487785515124932</c:v>
                </c:pt>
                <c:pt idx="31">
                  <c:v>2.2231389869828089</c:v>
                </c:pt>
                <c:pt idx="32">
                  <c:v>1.2561560324579162</c:v>
                </c:pt>
                <c:pt idx="33">
                  <c:v>0.34293769359853243</c:v>
                </c:pt>
                <c:pt idx="34">
                  <c:v>-0.52087874455351191</c:v>
                </c:pt>
                <c:pt idx="35">
                  <c:v>-1.3391964128244491</c:v>
                </c:pt>
                <c:pt idx="36">
                  <c:v>-2.1155178228272473</c:v>
                </c:pt>
                <c:pt idx="37">
                  <c:v>-2.57610597594363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20k,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36.850881130747325</c:v>
                </c:pt>
                <c:pt idx="1">
                  <c:v>36.850881130747325</c:v>
                </c:pt>
                <c:pt idx="2">
                  <c:v>36.850881130747325</c:v>
                </c:pt>
                <c:pt idx="3">
                  <c:v>36.850881130747325</c:v>
                </c:pt>
                <c:pt idx="4">
                  <c:v>36.850881130747325</c:v>
                </c:pt>
                <c:pt idx="5">
                  <c:v>36.850881130747325</c:v>
                </c:pt>
                <c:pt idx="6">
                  <c:v>36.850881130747325</c:v>
                </c:pt>
                <c:pt idx="7">
                  <c:v>36.850881130747325</c:v>
                </c:pt>
                <c:pt idx="8">
                  <c:v>36.850881130747325</c:v>
                </c:pt>
                <c:pt idx="9">
                  <c:v>36.850881130747325</c:v>
                </c:pt>
                <c:pt idx="10">
                  <c:v>36.850881130747325</c:v>
                </c:pt>
                <c:pt idx="11">
                  <c:v>36.850881130747325</c:v>
                </c:pt>
                <c:pt idx="12">
                  <c:v>36.850881130747325</c:v>
                </c:pt>
                <c:pt idx="13">
                  <c:v>36.850881130747325</c:v>
                </c:pt>
                <c:pt idx="14">
                  <c:v>36.097305855368631</c:v>
                </c:pt>
                <c:pt idx="15">
                  <c:v>32.330649349632679</c:v>
                </c:pt>
                <c:pt idx="16">
                  <c:v>28.96108951755448</c:v>
                </c:pt>
                <c:pt idx="17">
                  <c:v>25.928975304084865</c:v>
                </c:pt>
                <c:pt idx="18">
                  <c:v>23.186033483032251</c:v>
                </c:pt>
                <c:pt idx="19">
                  <c:v>20.692779371351886</c:v>
                </c:pt>
                <c:pt idx="20">
                  <c:v>18.416603862614224</c:v>
                </c:pt>
                <c:pt idx="21">
                  <c:v>16.330339281082185</c:v>
                </c:pt>
                <c:pt idx="22">
                  <c:v>14.411169830817371</c:v>
                </c:pt>
                <c:pt idx="23">
                  <c:v>12.639793760562409</c:v>
                </c:pt>
                <c:pt idx="24">
                  <c:v>10.99977191453611</c:v>
                </c:pt>
                <c:pt idx="25">
                  <c:v>9.477016024319008</c:v>
                </c:pt>
                <c:pt idx="26">
                  <c:v>8.0593829774333905</c:v>
                </c:pt>
                <c:pt idx="27">
                  <c:v>6.7363503107792351</c:v>
                </c:pt>
                <c:pt idx="28">
                  <c:v>5.4987545706435306</c:v>
                </c:pt>
                <c:pt idx="29">
                  <c:v>4.338578774737508</c:v>
                </c:pt>
                <c:pt idx="30">
                  <c:v>3.2487785515124932</c:v>
                </c:pt>
                <c:pt idx="31">
                  <c:v>2.2231389869828089</c:v>
                </c:pt>
                <c:pt idx="32">
                  <c:v>1.2561560324579162</c:v>
                </c:pt>
                <c:pt idx="33">
                  <c:v>0.34293769359853243</c:v>
                </c:pt>
                <c:pt idx="34">
                  <c:v>-0.52087874455351191</c:v>
                </c:pt>
                <c:pt idx="35">
                  <c:v>-1.3391964128244491</c:v>
                </c:pt>
                <c:pt idx="36">
                  <c:v>-2.1155178228272473</c:v>
                </c:pt>
                <c:pt idx="37">
                  <c:v>-2.57610597594363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20k,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36.850881130747325</c:v>
                </c:pt>
                <c:pt idx="1">
                  <c:v>36.850881130747325</c:v>
                </c:pt>
                <c:pt idx="2">
                  <c:v>36.850881130747325</c:v>
                </c:pt>
                <c:pt idx="3">
                  <c:v>36.850881130747325</c:v>
                </c:pt>
                <c:pt idx="4">
                  <c:v>36.850881130747325</c:v>
                </c:pt>
                <c:pt idx="5">
                  <c:v>36.850881130747325</c:v>
                </c:pt>
                <c:pt idx="6">
                  <c:v>36.850881130747325</c:v>
                </c:pt>
                <c:pt idx="7">
                  <c:v>36.850881130747325</c:v>
                </c:pt>
                <c:pt idx="8">
                  <c:v>36.850881130747325</c:v>
                </c:pt>
                <c:pt idx="9">
                  <c:v>36.850881130747325</c:v>
                </c:pt>
                <c:pt idx="10">
                  <c:v>36.850881130747325</c:v>
                </c:pt>
                <c:pt idx="11">
                  <c:v>36.850881130747325</c:v>
                </c:pt>
                <c:pt idx="12">
                  <c:v>36.850881130747325</c:v>
                </c:pt>
                <c:pt idx="13">
                  <c:v>36.850881130747325</c:v>
                </c:pt>
                <c:pt idx="14">
                  <c:v>36.097305855368631</c:v>
                </c:pt>
                <c:pt idx="15">
                  <c:v>32.330649349632679</c:v>
                </c:pt>
                <c:pt idx="16">
                  <c:v>28.96108951755448</c:v>
                </c:pt>
                <c:pt idx="17">
                  <c:v>25.928975304084865</c:v>
                </c:pt>
                <c:pt idx="18">
                  <c:v>23.186033483032251</c:v>
                </c:pt>
                <c:pt idx="19">
                  <c:v>20.692779371351886</c:v>
                </c:pt>
                <c:pt idx="20">
                  <c:v>18.416603862614224</c:v>
                </c:pt>
                <c:pt idx="21">
                  <c:v>16.330339281082185</c:v>
                </c:pt>
                <c:pt idx="22">
                  <c:v>14.411169830817371</c:v>
                </c:pt>
                <c:pt idx="23">
                  <c:v>12.639793760562409</c:v>
                </c:pt>
                <c:pt idx="24">
                  <c:v>10.99977191453611</c:v>
                </c:pt>
                <c:pt idx="25">
                  <c:v>9.477016024319008</c:v>
                </c:pt>
                <c:pt idx="26">
                  <c:v>8.0593829774333905</c:v>
                </c:pt>
                <c:pt idx="27">
                  <c:v>6.7363503107792351</c:v>
                </c:pt>
                <c:pt idx="28">
                  <c:v>5.4987545706435306</c:v>
                </c:pt>
                <c:pt idx="29">
                  <c:v>4.338578774737508</c:v>
                </c:pt>
                <c:pt idx="30">
                  <c:v>3.2487785515124932</c:v>
                </c:pt>
                <c:pt idx="31">
                  <c:v>2.2231389869828089</c:v>
                </c:pt>
                <c:pt idx="32">
                  <c:v>1.2561560324579162</c:v>
                </c:pt>
                <c:pt idx="33">
                  <c:v>0.34293769359853243</c:v>
                </c:pt>
                <c:pt idx="34">
                  <c:v>-0.52087874455351191</c:v>
                </c:pt>
                <c:pt idx="35">
                  <c:v>-1.3391964128244491</c:v>
                </c:pt>
                <c:pt idx="36">
                  <c:v>-2.1155178228272473</c:v>
                </c:pt>
                <c:pt idx="37">
                  <c:v>-2.57610597594363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20k,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4.9999999999999991</c:v>
                </c:pt>
                <c:pt idx="1">
                  <c:v>6.2385987999566952</c:v>
                </c:pt>
                <c:pt idx="2">
                  <c:v>7.4771975999133931</c:v>
                </c:pt>
                <c:pt idx="3">
                  <c:v>8.7157963998700883</c:v>
                </c:pt>
                <c:pt idx="4">
                  <c:v>9.9543951998267861</c:v>
                </c:pt>
                <c:pt idx="5">
                  <c:v>11.192993999783482</c:v>
                </c:pt>
                <c:pt idx="6">
                  <c:v>12.431592799740178</c:v>
                </c:pt>
                <c:pt idx="7">
                  <c:v>13.670191599696876</c:v>
                </c:pt>
                <c:pt idx="8">
                  <c:v>14.908790399653572</c:v>
                </c:pt>
                <c:pt idx="9">
                  <c:v>16.147389199610267</c:v>
                </c:pt>
                <c:pt idx="10">
                  <c:v>17.385987999566964</c:v>
                </c:pt>
                <c:pt idx="11">
                  <c:v>18.624586799523662</c:v>
                </c:pt>
                <c:pt idx="12">
                  <c:v>19.863185599480357</c:v>
                </c:pt>
                <c:pt idx="13">
                  <c:v>21.101784399437054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120" zoomScaleNormal="120" workbookViewId="0">
      <selection activeCell="H8" sqref="H8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20k, 500g, 10W</v>
      </c>
      <c r="AJ1" t="str">
        <f>CONCATENATE("Stepper Power, ",F2)</f>
        <v>Stepper Power, 24V, 20T, 20k, 500g, 10W</v>
      </c>
    </row>
    <row r="2" spans="1:53" ht="110" x14ac:dyDescent="0.2">
      <c r="B2" s="1" t="s">
        <v>3</v>
      </c>
      <c r="C2">
        <v>24</v>
      </c>
      <c r="D2" t="s">
        <v>62</v>
      </c>
      <c r="F2" t="str">
        <f>CONCATENATE(C2, "V, ", C6, "T, ",C9/1000,"k, ", C10, "g, ",C5,"W")</f>
        <v>24V, 20T, 20k, 500g, 10W</v>
      </c>
      <c r="Q2" t="s">
        <v>1</v>
      </c>
      <c r="R2" s="3" t="str">
        <f>C14</f>
        <v>OMC-17HS19-2004S1</v>
      </c>
      <c r="S2" s="3">
        <f>C15</f>
        <v>0</v>
      </c>
      <c r="T2" s="3">
        <f>C16</f>
        <v>0</v>
      </c>
      <c r="U2" s="3">
        <f>C17</f>
        <v>0</v>
      </c>
      <c r="V2" s="3">
        <f>C18</f>
        <v>0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>
        <f t="shared" si="0"/>
        <v>0</v>
      </c>
      <c r="AM2" s="3">
        <f t="shared" si="0"/>
        <v>0</v>
      </c>
      <c r="AN2" s="3">
        <f t="shared" si="0"/>
        <v>0</v>
      </c>
      <c r="AO2" s="3">
        <f t="shared" si="0"/>
        <v>0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60</v>
      </c>
      <c r="C3">
        <v>2.5</v>
      </c>
      <c r="D3" t="s">
        <v>61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36.850881130747325</v>
      </c>
      <c r="S3" s="7" t="e">
        <f t="shared" ref="S3:S34" si="3">SingleCoilTorque($F$15,$G$15,$H$15,$I$15,$J$15,$K$15,$C$2,$M$15,$P3)-$N$15</f>
        <v>#VALUE!</v>
      </c>
      <c r="T3" s="7" t="e">
        <f t="shared" ref="T3:T34" si="4">SingleCoilTorque($F$16,$G$16,$H$16,$I$16,$J$16,$K$16,$C$2,$M$16,$P3)-$N$16</f>
        <v>#VALUE!</v>
      </c>
      <c r="U3" s="7" t="e">
        <f t="shared" ref="U3:U34" si="5">SingleCoilTorque($F$17,$G$17,$H$17,$I$17,$J$17,$K$17,$C$2,$M$17,$P3)-$N$17</f>
        <v>#VALUE!</v>
      </c>
      <c r="V3" s="7" t="e">
        <f t="shared" ref="V3:V34" si="6">SingleCoilTorque($F$18,$G$18,$H$18,$I$18,$J$18,$K$18,$C$2,$M$18,$P3)-$N$18</f>
        <v>#VALUE!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6.366197723675814</v>
      </c>
      <c r="AJ3">
        <f>Q3</f>
        <v>0</v>
      </c>
      <c r="AK3" s="7">
        <f t="shared" ref="AK3:AK34" si="19">StepperPower($F$14,$G$14,$H$14,$I$14,$J$14,$K$14,$C$2,$M$14,$P3)</f>
        <v>4.9999999999999991</v>
      </c>
      <c r="AL3" s="7" t="e">
        <f t="shared" ref="AL3:AL34" si="20">StepperPower($F$15,$G$15,$H$15,$I$15,$J$15,$K$15,$C$2,$M$15,$P3)</f>
        <v>#VALUE!</v>
      </c>
      <c r="AM3" s="7" t="e">
        <f t="shared" ref="AM3:AM34" si="21">StepperPower($F$16,$G$16,$H$16,$I$16,$J$16,$K$16,$C$2,$M$16,$P3)</f>
        <v>#VALUE!</v>
      </c>
      <c r="AN3" s="7" t="e">
        <f t="shared" ref="AN3:AN34" si="22">StepperPower($F$17,$G$17,$H$17,$I$17,$J$17,$K$17,$C$2,$M$17,$P3)</f>
        <v>#VALUE!</v>
      </c>
      <c r="AO3" s="7" t="e">
        <f t="shared" ref="AO3:AO34" si="23">StepperPower($F$18,$G$18,$H$18,$I$18,$J$18,$K$18,$C$2,$M$18,$P3)</f>
        <v>#VALUE!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1" t="s">
        <v>63</v>
      </c>
      <c r="C4" s="8">
        <v>1</v>
      </c>
      <c r="P4">
        <f>P3+0.5</f>
        <v>0.5</v>
      </c>
      <c r="Q4">
        <f t="shared" si="1"/>
        <v>20</v>
      </c>
      <c r="R4" s="7">
        <f t="shared" si="2"/>
        <v>36.850881130747325</v>
      </c>
      <c r="S4" s="7" t="e">
        <f t="shared" si="3"/>
        <v>#VALUE!</v>
      </c>
      <c r="T4" s="7" t="e">
        <f t="shared" si="4"/>
        <v>#VALUE!</v>
      </c>
      <c r="U4" s="7" t="e">
        <f t="shared" si="5"/>
        <v>#VALUE!</v>
      </c>
      <c r="V4" s="7" t="e">
        <f t="shared" si="6"/>
        <v>#VALUE!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6.366197723675814</v>
      </c>
      <c r="AJ4">
        <f t="shared" ref="AJ4:AJ67" si="35">Q4</f>
        <v>20</v>
      </c>
      <c r="AK4" s="7">
        <f t="shared" si="19"/>
        <v>6.2385987999566952</v>
      </c>
      <c r="AL4" s="7" t="e">
        <f t="shared" si="20"/>
        <v>#VALUE!</v>
      </c>
      <c r="AM4" s="7" t="e">
        <f t="shared" si="21"/>
        <v>#VALUE!</v>
      </c>
      <c r="AN4" s="7" t="e">
        <f t="shared" si="22"/>
        <v>#VALUE!</v>
      </c>
      <c r="AO4" s="7" t="e">
        <f t="shared" si="23"/>
        <v>#VALUE!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1" t="s">
        <v>155</v>
      </c>
      <c r="C5">
        <v>10</v>
      </c>
      <c r="D5" t="s">
        <v>156</v>
      </c>
      <c r="P5">
        <f t="shared" ref="P5:P68" si="36">P4+0.5</f>
        <v>1</v>
      </c>
      <c r="Q5">
        <f t="shared" si="1"/>
        <v>40</v>
      </c>
      <c r="R5" s="7">
        <f t="shared" si="2"/>
        <v>36.850881130747325</v>
      </c>
      <c r="S5" s="7" t="e">
        <f t="shared" si="3"/>
        <v>#VALUE!</v>
      </c>
      <c r="T5" s="7" t="e">
        <f t="shared" si="4"/>
        <v>#VALUE!</v>
      </c>
      <c r="U5" s="7" t="e">
        <f t="shared" si="5"/>
        <v>#VALUE!</v>
      </c>
      <c r="V5" s="7" t="e">
        <f t="shared" si="6"/>
        <v>#VALUE!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6.366197723675814</v>
      </c>
      <c r="AJ5">
        <f t="shared" si="35"/>
        <v>40</v>
      </c>
      <c r="AK5" s="7">
        <f t="shared" si="19"/>
        <v>7.4771975999133931</v>
      </c>
      <c r="AL5" s="7" t="e">
        <f t="shared" si="20"/>
        <v>#VALUE!</v>
      </c>
      <c r="AM5" s="7" t="e">
        <f t="shared" si="21"/>
        <v>#VALUE!</v>
      </c>
      <c r="AN5" s="7" t="e">
        <f t="shared" si="22"/>
        <v>#VALUE!</v>
      </c>
      <c r="AO5" s="7" t="e">
        <f t="shared" si="23"/>
        <v>#VALUE!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36.850881130747325</v>
      </c>
      <c r="S6" s="7" t="e">
        <f t="shared" si="3"/>
        <v>#VALUE!</v>
      </c>
      <c r="T6" s="7" t="e">
        <f t="shared" si="4"/>
        <v>#VALUE!</v>
      </c>
      <c r="U6" s="7" t="e">
        <f t="shared" si="5"/>
        <v>#VALUE!</v>
      </c>
      <c r="V6" s="7" t="e">
        <f t="shared" si="6"/>
        <v>#VALUE!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6.366197723675814</v>
      </c>
      <c r="AJ6">
        <f t="shared" si="35"/>
        <v>60</v>
      </c>
      <c r="AK6" s="7">
        <f t="shared" si="19"/>
        <v>8.7157963998700883</v>
      </c>
      <c r="AL6" s="7" t="e">
        <f t="shared" si="20"/>
        <v>#VALUE!</v>
      </c>
      <c r="AM6" s="7" t="e">
        <f t="shared" si="21"/>
        <v>#VALUE!</v>
      </c>
      <c r="AN6" s="7" t="e">
        <f t="shared" si="22"/>
        <v>#VALUE!</v>
      </c>
      <c r="AO6" s="7" t="e">
        <f t="shared" si="23"/>
        <v>#VALUE!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36.850881130747325</v>
      </c>
      <c r="S7" s="7" t="e">
        <f t="shared" si="3"/>
        <v>#VALUE!</v>
      </c>
      <c r="T7" s="7" t="e">
        <f t="shared" si="4"/>
        <v>#VALUE!</v>
      </c>
      <c r="U7" s="7" t="e">
        <f t="shared" si="5"/>
        <v>#VALUE!</v>
      </c>
      <c r="V7" s="7" t="e">
        <f t="shared" si="6"/>
        <v>#VALUE!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6.366197723675814</v>
      </c>
      <c r="AJ7">
        <f t="shared" si="35"/>
        <v>80</v>
      </c>
      <c r="AK7" s="7">
        <f t="shared" si="19"/>
        <v>9.9543951998267861</v>
      </c>
      <c r="AL7" s="7" t="e">
        <f t="shared" si="20"/>
        <v>#VALUE!</v>
      </c>
      <c r="AM7" s="7" t="e">
        <f t="shared" si="21"/>
        <v>#VALUE!</v>
      </c>
      <c r="AN7" s="7" t="e">
        <f t="shared" si="22"/>
        <v>#VALUE!</v>
      </c>
      <c r="AO7" s="7" t="e">
        <f t="shared" si="23"/>
        <v>#VALUE!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P8">
        <f t="shared" si="36"/>
        <v>2.5</v>
      </c>
      <c r="Q8">
        <f t="shared" si="1"/>
        <v>100</v>
      </c>
      <c r="R8" s="7">
        <f t="shared" si="2"/>
        <v>36.850881130747325</v>
      </c>
      <c r="S8" s="7" t="e">
        <f t="shared" si="3"/>
        <v>#VALUE!</v>
      </c>
      <c r="T8" s="7" t="e">
        <f t="shared" si="4"/>
        <v>#VALUE!</v>
      </c>
      <c r="U8" s="7" t="e">
        <f t="shared" si="5"/>
        <v>#VALUE!</v>
      </c>
      <c r="V8" s="7" t="e">
        <f t="shared" si="6"/>
        <v>#VALUE!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6.366197723675814</v>
      </c>
      <c r="AJ8">
        <f t="shared" si="35"/>
        <v>100</v>
      </c>
      <c r="AK8" s="7">
        <f t="shared" si="19"/>
        <v>11.192993999783482</v>
      </c>
      <c r="AL8" s="7" t="e">
        <f t="shared" si="20"/>
        <v>#VALUE!</v>
      </c>
      <c r="AM8" s="7" t="e">
        <f t="shared" si="21"/>
        <v>#VALUE!</v>
      </c>
      <c r="AN8" s="7" t="e">
        <f t="shared" si="22"/>
        <v>#VALUE!</v>
      </c>
      <c r="AO8" s="7" t="e">
        <f t="shared" si="23"/>
        <v>#VALUE!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1" t="s">
        <v>65</v>
      </c>
      <c r="C9">
        <v>20000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36.850881130747325</v>
      </c>
      <c r="S9" s="7" t="e">
        <f t="shared" si="3"/>
        <v>#VALUE!</v>
      </c>
      <c r="T9" s="7" t="e">
        <f t="shared" si="4"/>
        <v>#VALUE!</v>
      </c>
      <c r="U9" s="7" t="e">
        <f t="shared" si="5"/>
        <v>#VALUE!</v>
      </c>
      <c r="V9" s="7" t="e">
        <f t="shared" si="6"/>
        <v>#VALUE!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6.366197723675814</v>
      </c>
      <c r="AJ9">
        <f t="shared" si="35"/>
        <v>120</v>
      </c>
      <c r="AK9" s="7">
        <f t="shared" si="19"/>
        <v>12.431592799740178</v>
      </c>
      <c r="AL9" s="7" t="e">
        <f t="shared" si="20"/>
        <v>#VALUE!</v>
      </c>
      <c r="AM9" s="7" t="e">
        <f t="shared" si="21"/>
        <v>#VALUE!</v>
      </c>
      <c r="AN9" s="7" t="e">
        <f t="shared" si="22"/>
        <v>#VALUE!</v>
      </c>
      <c r="AO9" s="7" t="e">
        <f t="shared" si="23"/>
        <v>#VALUE!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1"/>
        <v>140</v>
      </c>
      <c r="R10" s="7">
        <f t="shared" si="2"/>
        <v>36.850881130747325</v>
      </c>
      <c r="S10" s="7" t="e">
        <f t="shared" si="3"/>
        <v>#VALUE!</v>
      </c>
      <c r="T10" s="7" t="e">
        <f t="shared" si="4"/>
        <v>#VALUE!</v>
      </c>
      <c r="U10" s="7" t="e">
        <f t="shared" si="5"/>
        <v>#VALUE!</v>
      </c>
      <c r="V10" s="7" t="e">
        <f t="shared" si="6"/>
        <v>#VALUE!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6.366197723675814</v>
      </c>
      <c r="AJ10">
        <f t="shared" si="35"/>
        <v>140</v>
      </c>
      <c r="AK10" s="7">
        <f t="shared" si="19"/>
        <v>13.670191599696876</v>
      </c>
      <c r="AL10" s="7" t="e">
        <f t="shared" si="20"/>
        <v>#VALUE!</v>
      </c>
      <c r="AM10" s="7" t="e">
        <f t="shared" si="21"/>
        <v>#VALUE!</v>
      </c>
      <c r="AN10" s="7" t="e">
        <f t="shared" si="22"/>
        <v>#VALUE!</v>
      </c>
      <c r="AO10" s="7" t="e">
        <f t="shared" si="23"/>
        <v>#VALUE!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1" t="s">
        <v>69</v>
      </c>
      <c r="C11" s="2">
        <f>C9/1000*C10/1000*(C6*2/C7)/(2*PI()*10)</f>
        <v>6.366197723675814</v>
      </c>
      <c r="D11" t="s">
        <v>66</v>
      </c>
      <c r="E11">
        <f>C11/100</f>
        <v>6.3661977236758135E-2</v>
      </c>
      <c r="P11">
        <f t="shared" si="36"/>
        <v>4</v>
      </c>
      <c r="Q11">
        <f t="shared" si="1"/>
        <v>160</v>
      </c>
      <c r="R11" s="7">
        <f t="shared" si="2"/>
        <v>36.850881130747325</v>
      </c>
      <c r="S11" s="7" t="e">
        <f t="shared" si="3"/>
        <v>#VALUE!</v>
      </c>
      <c r="T11" s="7" t="e">
        <f t="shared" si="4"/>
        <v>#VALUE!</v>
      </c>
      <c r="U11" s="7" t="e">
        <f t="shared" si="5"/>
        <v>#VALUE!</v>
      </c>
      <c r="V11" s="7" t="e">
        <f t="shared" si="6"/>
        <v>#VALUE!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6.366197723675814</v>
      </c>
      <c r="AJ11">
        <f t="shared" si="35"/>
        <v>160</v>
      </c>
      <c r="AK11" s="7">
        <f t="shared" si="19"/>
        <v>14.908790399653572</v>
      </c>
      <c r="AL11" s="7" t="e">
        <f t="shared" si="20"/>
        <v>#VALUE!</v>
      </c>
      <c r="AM11" s="7" t="e">
        <f t="shared" si="21"/>
        <v>#VALUE!</v>
      </c>
      <c r="AN11" s="7" t="e">
        <f t="shared" si="22"/>
        <v>#VALUE!</v>
      </c>
      <c r="AO11" s="7" t="e">
        <f t="shared" si="23"/>
        <v>#VALUE!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" customHeight="1" x14ac:dyDescent="0.2">
      <c r="P12">
        <f t="shared" si="36"/>
        <v>4.5</v>
      </c>
      <c r="Q12">
        <f t="shared" si="1"/>
        <v>180</v>
      </c>
      <c r="R12" s="7">
        <f t="shared" si="2"/>
        <v>36.850881130747325</v>
      </c>
      <c r="S12" s="7" t="e">
        <f t="shared" si="3"/>
        <v>#VALUE!</v>
      </c>
      <c r="T12" s="7" t="e">
        <f t="shared" si="4"/>
        <v>#VALUE!</v>
      </c>
      <c r="U12" s="7" t="e">
        <f t="shared" si="5"/>
        <v>#VALUE!</v>
      </c>
      <c r="V12" s="7" t="e">
        <f t="shared" si="6"/>
        <v>#VALUE!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6.366197723675814</v>
      </c>
      <c r="AJ12">
        <f t="shared" si="35"/>
        <v>180</v>
      </c>
      <c r="AK12" s="7">
        <f t="shared" si="19"/>
        <v>16.147389199610267</v>
      </c>
      <c r="AL12" s="7" t="e">
        <f t="shared" si="20"/>
        <v>#VALUE!</v>
      </c>
      <c r="AM12" s="7" t="e">
        <f t="shared" si="21"/>
        <v>#VALUE!</v>
      </c>
      <c r="AN12" s="7" t="e">
        <f t="shared" si="22"/>
        <v>#VALUE!</v>
      </c>
      <c r="AO12" s="7" t="e">
        <f t="shared" si="23"/>
        <v>#VALUE!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8" x14ac:dyDescent="0.2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 t="s">
        <v>157</v>
      </c>
      <c r="M13" t="s">
        <v>42</v>
      </c>
      <c r="N13" t="s">
        <v>67</v>
      </c>
      <c r="O13" t="s">
        <v>158</v>
      </c>
      <c r="P13">
        <f t="shared" si="36"/>
        <v>5</v>
      </c>
      <c r="Q13">
        <f t="shared" si="1"/>
        <v>200</v>
      </c>
      <c r="R13" s="7">
        <f t="shared" si="2"/>
        <v>36.850881130747325</v>
      </c>
      <c r="S13" s="7" t="e">
        <f t="shared" si="3"/>
        <v>#VALUE!</v>
      </c>
      <c r="T13" s="7" t="e">
        <f t="shared" si="4"/>
        <v>#VALUE!</v>
      </c>
      <c r="U13" s="7" t="e">
        <f t="shared" si="5"/>
        <v>#VALUE!</v>
      </c>
      <c r="V13" s="7" t="e">
        <f t="shared" si="6"/>
        <v>#VALUE!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6.366197723675814</v>
      </c>
      <c r="AJ13">
        <f t="shared" si="35"/>
        <v>200</v>
      </c>
      <c r="AK13" s="7">
        <f t="shared" si="19"/>
        <v>17.385987999566964</v>
      </c>
      <c r="AL13" s="7" t="e">
        <f t="shared" si="20"/>
        <v>#VALUE!</v>
      </c>
      <c r="AM13" s="7" t="e">
        <f t="shared" si="21"/>
        <v>#VALUE!</v>
      </c>
      <c r="AN13" s="7" t="e">
        <f t="shared" si="22"/>
        <v>#VALUE!</v>
      </c>
      <c r="AO13" s="7" t="e">
        <f t="shared" si="23"/>
        <v>#VALUE!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44</v>
      </c>
      <c r="C14" s="1" t="s">
        <v>159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1.8898223650461361</v>
      </c>
      <c r="M14" s="2">
        <f>MIN($C$3,$C$4*$G14,$G14,L14)</f>
        <v>1.8898223650461361</v>
      </c>
      <c r="N14" s="2">
        <f>$C$9/($C$6*2)*2*PI()*(K14/(1000*100^2))*100</f>
        <v>2.57610597594363</v>
      </c>
      <c r="O14">
        <f>M14^2*J14*2</f>
        <v>9.9999999999999982</v>
      </c>
      <c r="P14">
        <f t="shared" si="36"/>
        <v>5.5</v>
      </c>
      <c r="Q14">
        <f t="shared" si="1"/>
        <v>220</v>
      </c>
      <c r="R14" s="7">
        <f t="shared" si="2"/>
        <v>36.850881130747325</v>
      </c>
      <c r="S14" s="7" t="e">
        <f t="shared" si="3"/>
        <v>#VALUE!</v>
      </c>
      <c r="T14" s="7" t="e">
        <f t="shared" si="4"/>
        <v>#VALUE!</v>
      </c>
      <c r="U14" s="7" t="e">
        <f t="shared" si="5"/>
        <v>#VALUE!</v>
      </c>
      <c r="V14" s="7" t="e">
        <f t="shared" si="6"/>
        <v>#VALUE!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6.366197723675814</v>
      </c>
      <c r="AJ14">
        <f t="shared" si="35"/>
        <v>220</v>
      </c>
      <c r="AK14" s="7">
        <f t="shared" si="19"/>
        <v>18.624586799523662</v>
      </c>
      <c r="AL14" s="7" t="e">
        <f t="shared" si="20"/>
        <v>#VALUE!</v>
      </c>
      <c r="AM14" s="7" t="e">
        <f t="shared" si="21"/>
        <v>#VALUE!</v>
      </c>
      <c r="AN14" s="7" t="e">
        <f t="shared" si="22"/>
        <v>#VALUE!</v>
      </c>
      <c r="AO14" s="7" t="e">
        <f t="shared" si="23"/>
        <v>#VALUE!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45</v>
      </c>
      <c r="C15" s="1"/>
      <c r="D15" t="e">
        <f>VLOOKUP($C15,'Motor Database'!$A$3:$K$300,4,FALSE)</f>
        <v>#N/A</v>
      </c>
      <c r="E15" t="e">
        <f>VLOOKUP($C15,'Motor Database'!$A$3:$K$300,5,FALSE)</f>
        <v>#N/A</v>
      </c>
      <c r="F15" t="e">
        <f>VLOOKUP($C15,'Motor Database'!$A$3:$K$300,6,FALSE)</f>
        <v>#N/A</v>
      </c>
      <c r="G15" t="e">
        <f>VLOOKUP($C15,'Motor Database'!$A$3:$K$300,7,FALSE)</f>
        <v>#N/A</v>
      </c>
      <c r="H15" t="e">
        <f>VLOOKUP($C15,'Motor Database'!$A$3:$K$300,8,FALSE)</f>
        <v>#N/A</v>
      </c>
      <c r="I15" t="e">
        <f>VLOOKUP($C15,'Motor Database'!$A$3:$K$300,9,FALSE)</f>
        <v>#N/A</v>
      </c>
      <c r="J15" t="e">
        <f>VLOOKUP($C15,'Motor Database'!$A$3:$K$300,10,FALSE)</f>
        <v>#N/A</v>
      </c>
      <c r="K15" t="e">
        <f>VLOOKUP($C15,'Motor Database'!$A$3:$K$300,11,FALSE)</f>
        <v>#N/A</v>
      </c>
      <c r="L15" s="2" t="e">
        <f t="shared" ref="L15:L29" si="37">SQRT($C$5/2/$J15)</f>
        <v>#N/A</v>
      </c>
      <c r="M15" s="2" t="e">
        <f t="shared" ref="M15:M29" si="38">MIN($C$3,$C$4*$G15,$G15,L15)</f>
        <v>#N/A</v>
      </c>
      <c r="N15" s="2" t="e">
        <f t="shared" ref="N15:N29" si="39">$C$9/($C$6*2)*2*PI()*(K15/(1000*100^2))*100</f>
        <v>#N/A</v>
      </c>
      <c r="O15" t="e">
        <f t="shared" ref="O15:O20" si="40">M15^2*J15*2</f>
        <v>#N/A</v>
      </c>
      <c r="P15">
        <f t="shared" si="36"/>
        <v>6</v>
      </c>
      <c r="Q15">
        <f t="shared" si="1"/>
        <v>240</v>
      </c>
      <c r="R15" s="7">
        <f t="shared" si="2"/>
        <v>36.850881130747325</v>
      </c>
      <c r="S15" s="7" t="e">
        <f t="shared" si="3"/>
        <v>#VALUE!</v>
      </c>
      <c r="T15" s="7" t="e">
        <f t="shared" si="4"/>
        <v>#VALUE!</v>
      </c>
      <c r="U15" s="7" t="e">
        <f t="shared" si="5"/>
        <v>#VALUE!</v>
      </c>
      <c r="V15" s="7" t="e">
        <f t="shared" si="6"/>
        <v>#VALUE!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6.366197723675814</v>
      </c>
      <c r="AJ15">
        <f t="shared" si="35"/>
        <v>240</v>
      </c>
      <c r="AK15" s="7">
        <f t="shared" si="19"/>
        <v>19.863185599480357</v>
      </c>
      <c r="AL15" s="7" t="e">
        <f t="shared" si="20"/>
        <v>#VALUE!</v>
      </c>
      <c r="AM15" s="7" t="e">
        <f t="shared" si="21"/>
        <v>#VALUE!</v>
      </c>
      <c r="AN15" s="7" t="e">
        <f t="shared" si="22"/>
        <v>#VALUE!</v>
      </c>
      <c r="AO15" s="7" t="e">
        <f t="shared" si="23"/>
        <v>#VALUE!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46</v>
      </c>
      <c r="C16" s="1"/>
      <c r="D16" t="e">
        <f>VLOOKUP($C16,'Motor Database'!$A$3:$K$300,4,FALSE)</f>
        <v>#N/A</v>
      </c>
      <c r="E16" t="e">
        <f>VLOOKUP($C16,'Motor Database'!$A$3:$K$300,5,FALSE)</f>
        <v>#N/A</v>
      </c>
      <c r="F16" t="e">
        <f>VLOOKUP($C16,'Motor Database'!$A$3:$K$300,6,FALSE)</f>
        <v>#N/A</v>
      </c>
      <c r="G16" t="e">
        <f>VLOOKUP($C16,'Motor Database'!$A$3:$K$300,7,FALSE)</f>
        <v>#N/A</v>
      </c>
      <c r="H16" t="e">
        <f>VLOOKUP($C16,'Motor Database'!$A$3:$K$300,8,FALSE)</f>
        <v>#N/A</v>
      </c>
      <c r="I16" t="e">
        <f>VLOOKUP($C16,'Motor Database'!$A$3:$K$300,9,FALSE)</f>
        <v>#N/A</v>
      </c>
      <c r="J16" t="e">
        <f>VLOOKUP($C16,'Motor Database'!$A$3:$K$300,10,FALSE)</f>
        <v>#N/A</v>
      </c>
      <c r="K16" t="e">
        <f>VLOOKUP($C16,'Motor Database'!$A$3:$K$300,11,FALSE)</f>
        <v>#N/A</v>
      </c>
      <c r="L16" s="2" t="e">
        <f t="shared" si="37"/>
        <v>#N/A</v>
      </c>
      <c r="M16" s="2" t="e">
        <f t="shared" si="38"/>
        <v>#N/A</v>
      </c>
      <c r="N16" s="2" t="e">
        <f t="shared" si="39"/>
        <v>#N/A</v>
      </c>
      <c r="O16" t="e">
        <f t="shared" si="40"/>
        <v>#N/A</v>
      </c>
      <c r="P16">
        <f t="shared" si="36"/>
        <v>6.5</v>
      </c>
      <c r="Q16">
        <f t="shared" si="1"/>
        <v>260</v>
      </c>
      <c r="R16" s="7">
        <f t="shared" si="2"/>
        <v>36.850881130747325</v>
      </c>
      <c r="S16" s="7" t="e">
        <f t="shared" si="3"/>
        <v>#VALUE!</v>
      </c>
      <c r="T16" s="7" t="e">
        <f t="shared" si="4"/>
        <v>#VALUE!</v>
      </c>
      <c r="U16" s="7" t="e">
        <f t="shared" si="5"/>
        <v>#VALUE!</v>
      </c>
      <c r="V16" s="7" t="e">
        <f t="shared" si="6"/>
        <v>#VALUE!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6.366197723675814</v>
      </c>
      <c r="AJ16">
        <f t="shared" si="35"/>
        <v>260</v>
      </c>
      <c r="AK16" s="7">
        <f t="shared" si="19"/>
        <v>21.101784399437054</v>
      </c>
      <c r="AL16" s="7" t="e">
        <f t="shared" si="20"/>
        <v>#VALUE!</v>
      </c>
      <c r="AM16" s="7" t="e">
        <f t="shared" si="21"/>
        <v>#VALUE!</v>
      </c>
      <c r="AN16" s="7" t="e">
        <f t="shared" si="22"/>
        <v>#VALUE!</v>
      </c>
      <c r="AO16" s="7" t="e">
        <f t="shared" si="23"/>
        <v>#VALUE!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47</v>
      </c>
      <c r="C17" s="1"/>
      <c r="D17" t="e">
        <f>VLOOKUP($C17,'Motor Database'!$A$3:$K$300,4,FALSE)</f>
        <v>#N/A</v>
      </c>
      <c r="E17" t="e">
        <f>VLOOKUP($C17,'Motor Database'!$A$3:$K$300,5,FALSE)</f>
        <v>#N/A</v>
      </c>
      <c r="F17" t="e">
        <f>VLOOKUP($C17,'Motor Database'!$A$3:$K$300,6,FALSE)</f>
        <v>#N/A</v>
      </c>
      <c r="G17" t="e">
        <f>VLOOKUP($C17,'Motor Database'!$A$3:$K$300,7,FALSE)</f>
        <v>#N/A</v>
      </c>
      <c r="H17" t="e">
        <f>VLOOKUP($C17,'Motor Database'!$A$3:$K$300,8,FALSE)</f>
        <v>#N/A</v>
      </c>
      <c r="I17" t="e">
        <f>VLOOKUP($C17,'Motor Database'!$A$3:$K$300,9,FALSE)</f>
        <v>#N/A</v>
      </c>
      <c r="J17" t="e">
        <f>VLOOKUP($C17,'Motor Database'!$A$3:$K$300,10,FALSE)</f>
        <v>#N/A</v>
      </c>
      <c r="K17" t="e">
        <f>VLOOKUP($C17,'Motor Database'!$A$3:$K$300,11,FALSE)</f>
        <v>#N/A</v>
      </c>
      <c r="L17" s="2" t="e">
        <f t="shared" si="37"/>
        <v>#N/A</v>
      </c>
      <c r="M17" s="2" t="e">
        <f t="shared" si="38"/>
        <v>#N/A</v>
      </c>
      <c r="N17" s="2" t="e">
        <f t="shared" si="39"/>
        <v>#N/A</v>
      </c>
      <c r="O17" t="e">
        <f t="shared" si="40"/>
        <v>#N/A</v>
      </c>
      <c r="P17">
        <f t="shared" si="36"/>
        <v>7</v>
      </c>
      <c r="Q17">
        <f t="shared" si="1"/>
        <v>280</v>
      </c>
      <c r="R17" s="7">
        <f t="shared" si="2"/>
        <v>36.097305855368631</v>
      </c>
      <c r="S17" s="7" t="e">
        <f t="shared" si="3"/>
        <v>#VALUE!</v>
      </c>
      <c r="T17" s="7" t="e">
        <f t="shared" si="4"/>
        <v>#VALUE!</v>
      </c>
      <c r="U17" s="7" t="e">
        <f t="shared" si="5"/>
        <v>#VALUE!</v>
      </c>
      <c r="V17" s="7" t="e">
        <f t="shared" si="6"/>
        <v>#VALUE!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6.366197723675814</v>
      </c>
      <c r="AJ17">
        <f t="shared" si="35"/>
        <v>280</v>
      </c>
      <c r="AK17" s="7">
        <f t="shared" si="19"/>
        <v>21.819647982501536</v>
      </c>
      <c r="AL17" s="7" t="e">
        <f t="shared" si="20"/>
        <v>#VALUE!</v>
      </c>
      <c r="AM17" s="7" t="e">
        <f t="shared" si="21"/>
        <v>#VALUE!</v>
      </c>
      <c r="AN17" s="7" t="e">
        <f t="shared" si="22"/>
        <v>#VALUE!</v>
      </c>
      <c r="AO17" s="7" t="e">
        <f t="shared" si="23"/>
        <v>#VALUE!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48</v>
      </c>
      <c r="C18" s="1"/>
      <c r="D18" t="e">
        <f>VLOOKUP($C18,'Motor Database'!$A$3:$K$300,4,FALSE)</f>
        <v>#N/A</v>
      </c>
      <c r="E18" t="e">
        <f>VLOOKUP($C18,'Motor Database'!$A$3:$K$300,5,FALSE)</f>
        <v>#N/A</v>
      </c>
      <c r="F18" t="e">
        <f>VLOOKUP($C18,'Motor Database'!$A$3:$K$300,6,FALSE)</f>
        <v>#N/A</v>
      </c>
      <c r="G18" t="e">
        <f>VLOOKUP($C18,'Motor Database'!$A$3:$K$300,7,FALSE)</f>
        <v>#N/A</v>
      </c>
      <c r="H18" t="e">
        <f>VLOOKUP($C18,'Motor Database'!$A$3:$K$300,8,FALSE)</f>
        <v>#N/A</v>
      </c>
      <c r="I18" t="e">
        <f>VLOOKUP($C18,'Motor Database'!$A$3:$K$300,9,FALSE)</f>
        <v>#N/A</v>
      </c>
      <c r="J18" t="e">
        <f>VLOOKUP($C18,'Motor Database'!$A$3:$K$300,10,FALSE)</f>
        <v>#N/A</v>
      </c>
      <c r="K18" t="e">
        <f>VLOOKUP($C18,'Motor Database'!$A$3:$K$300,11,FALSE)</f>
        <v>#N/A</v>
      </c>
      <c r="L18" s="2" t="e">
        <f t="shared" si="37"/>
        <v>#N/A</v>
      </c>
      <c r="M18" s="2" t="e">
        <f t="shared" si="38"/>
        <v>#N/A</v>
      </c>
      <c r="N18" s="2" t="e">
        <f t="shared" si="39"/>
        <v>#N/A</v>
      </c>
      <c r="O18" t="e">
        <f t="shared" si="40"/>
        <v>#N/A</v>
      </c>
      <c r="P18">
        <f t="shared" si="36"/>
        <v>7.5</v>
      </c>
      <c r="Q18">
        <f t="shared" si="1"/>
        <v>300</v>
      </c>
      <c r="R18" s="7">
        <f t="shared" si="2"/>
        <v>32.330649349632679</v>
      </c>
      <c r="S18" s="7" t="e">
        <f t="shared" si="3"/>
        <v>#VALUE!</v>
      </c>
      <c r="T18" s="7" t="e">
        <f t="shared" si="4"/>
        <v>#VALUE!</v>
      </c>
      <c r="U18" s="7" t="e">
        <f t="shared" si="5"/>
        <v>#VALUE!</v>
      </c>
      <c r="V18" s="7" t="e">
        <f t="shared" si="6"/>
        <v>#VALUE!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6.366197723675814</v>
      </c>
      <c r="AJ18">
        <f t="shared" si="35"/>
        <v>300</v>
      </c>
      <c r="AK18" s="7">
        <f t="shared" si="19"/>
        <v>20.368175123992671</v>
      </c>
      <c r="AL18" s="7" t="e">
        <f t="shared" si="20"/>
        <v>#VALUE!</v>
      </c>
      <c r="AM18" s="7" t="e">
        <f t="shared" si="21"/>
        <v>#VALUE!</v>
      </c>
      <c r="AN18" s="7" t="e">
        <f t="shared" si="22"/>
        <v>#VALUE!</v>
      </c>
      <c r="AO18" s="7" t="e">
        <f t="shared" si="23"/>
        <v>#VALUE!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49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28.96108951755448</v>
      </c>
      <c r="S19" s="7" t="e">
        <f t="shared" si="3"/>
        <v>#VALUE!</v>
      </c>
      <c r="T19" s="7" t="e">
        <f t="shared" si="4"/>
        <v>#VALUE!</v>
      </c>
      <c r="U19" s="7" t="e">
        <f t="shared" si="5"/>
        <v>#VALUE!</v>
      </c>
      <c r="V19" s="7" t="e">
        <f t="shared" si="6"/>
        <v>#VALUE!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6.366197723675814</v>
      </c>
      <c r="AJ19">
        <f t="shared" si="35"/>
        <v>320</v>
      </c>
      <c r="AK19" s="7">
        <f t="shared" si="19"/>
        <v>19.050964393973238</v>
      </c>
      <c r="AL19" s="7" t="e">
        <f t="shared" si="20"/>
        <v>#VALUE!</v>
      </c>
      <c r="AM19" s="7" t="e">
        <f t="shared" si="21"/>
        <v>#VALUE!</v>
      </c>
      <c r="AN19" s="7" t="e">
        <f t="shared" si="22"/>
        <v>#VALUE!</v>
      </c>
      <c r="AO19" s="7" t="e">
        <f t="shared" si="23"/>
        <v>#VALUE!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50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25.928975304084865</v>
      </c>
      <c r="S20" s="7" t="e">
        <f t="shared" si="3"/>
        <v>#VALUE!</v>
      </c>
      <c r="T20" s="7" t="e">
        <f t="shared" si="4"/>
        <v>#VALUE!</v>
      </c>
      <c r="U20" s="7" t="e">
        <f t="shared" si="5"/>
        <v>#VALUE!</v>
      </c>
      <c r="V20" s="7" t="e">
        <f t="shared" si="6"/>
        <v>#VALUE!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6.366197723675814</v>
      </c>
      <c r="AJ20">
        <f t="shared" si="35"/>
        <v>340</v>
      </c>
      <c r="AK20" s="7">
        <f t="shared" si="19"/>
        <v>17.836810583811619</v>
      </c>
      <c r="AL20" s="7" t="e">
        <f t="shared" si="20"/>
        <v>#VALUE!</v>
      </c>
      <c r="AM20" s="7" t="e">
        <f t="shared" si="21"/>
        <v>#VALUE!</v>
      </c>
      <c r="AN20" s="7" t="e">
        <f t="shared" si="22"/>
        <v>#VALUE!</v>
      </c>
      <c r="AO20" s="7" t="e">
        <f t="shared" si="23"/>
        <v>#VALUE!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51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23.186033483032251</v>
      </c>
      <c r="S21" s="7" t="e">
        <f t="shared" si="3"/>
        <v>#VALUE!</v>
      </c>
      <c r="T21" s="7" t="e">
        <f t="shared" si="4"/>
        <v>#VALUE!</v>
      </c>
      <c r="U21" s="7" t="e">
        <f t="shared" si="5"/>
        <v>#VALUE!</v>
      </c>
      <c r="V21" s="7" t="e">
        <f t="shared" si="6"/>
        <v>#VALUE!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6.366197723675814</v>
      </c>
      <c r="AJ21">
        <f t="shared" si="35"/>
        <v>360</v>
      </c>
      <c r="AK21" s="7">
        <f t="shared" si="19"/>
        <v>16.702465299989811</v>
      </c>
      <c r="AL21" s="7" t="e">
        <f t="shared" si="20"/>
        <v>#VALUE!</v>
      </c>
      <c r="AM21" s="7" t="e">
        <f t="shared" si="21"/>
        <v>#VALUE!</v>
      </c>
      <c r="AN21" s="7" t="e">
        <f t="shared" si="22"/>
        <v>#VALUE!</v>
      </c>
      <c r="AO21" s="7" t="e">
        <f t="shared" si="23"/>
        <v>#VALUE!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52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20.692779371351886</v>
      </c>
      <c r="S22" s="7" t="e">
        <f t="shared" si="3"/>
        <v>#VALUE!</v>
      </c>
      <c r="T22" s="7" t="e">
        <f t="shared" si="4"/>
        <v>#VALUE!</v>
      </c>
      <c r="U22" s="7" t="e">
        <f t="shared" si="5"/>
        <v>#VALUE!</v>
      </c>
      <c r="V22" s="7" t="e">
        <f t="shared" si="6"/>
        <v>#VALUE!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6.366197723675814</v>
      </c>
      <c r="AJ22">
        <f t="shared" si="35"/>
        <v>380</v>
      </c>
      <c r="AK22" s="7">
        <f t="shared" si="19"/>
        <v>15.630390748675772</v>
      </c>
      <c r="AL22" s="7" t="e">
        <f t="shared" si="20"/>
        <v>#VALUE!</v>
      </c>
      <c r="AM22" s="7" t="e">
        <f t="shared" si="21"/>
        <v>#VALUE!</v>
      </c>
      <c r="AN22" s="7" t="e">
        <f t="shared" si="22"/>
        <v>#VALUE!</v>
      </c>
      <c r="AO22" s="7" t="e">
        <f t="shared" si="23"/>
        <v>#VALUE!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53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18.416603862614224</v>
      </c>
      <c r="S23" s="7" t="e">
        <f t="shared" si="3"/>
        <v>#VALUE!</v>
      </c>
      <c r="T23" s="7" t="e">
        <f t="shared" si="4"/>
        <v>#VALUE!</v>
      </c>
      <c r="U23" s="7" t="e">
        <f t="shared" si="5"/>
        <v>#VALUE!</v>
      </c>
      <c r="V23" s="7" t="e">
        <f t="shared" si="6"/>
        <v>#VALUE!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6.366197723675814</v>
      </c>
      <c r="AJ23">
        <f t="shared" si="35"/>
        <v>400</v>
      </c>
      <c r="AK23" s="7">
        <f t="shared" si="19"/>
        <v>14.60720901999575</v>
      </c>
      <c r="AL23" s="7" t="e">
        <f t="shared" si="20"/>
        <v>#VALUE!</v>
      </c>
      <c r="AM23" s="7" t="e">
        <f t="shared" si="21"/>
        <v>#VALUE!</v>
      </c>
      <c r="AN23" s="7" t="e">
        <f t="shared" si="22"/>
        <v>#VALUE!</v>
      </c>
      <c r="AO23" s="7" t="e">
        <f t="shared" si="23"/>
        <v>#VALUE!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54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16.330339281082185</v>
      </c>
      <c r="S24" s="7" t="e">
        <f t="shared" si="3"/>
        <v>#VALUE!</v>
      </c>
      <c r="T24" s="7" t="e">
        <f t="shared" si="4"/>
        <v>#VALUE!</v>
      </c>
      <c r="U24" s="7" t="e">
        <f t="shared" si="5"/>
        <v>#VALUE!</v>
      </c>
      <c r="V24" s="7" t="e">
        <f t="shared" si="6"/>
        <v>#VALUE!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6.366197723675814</v>
      </c>
      <c r="AJ24">
        <f t="shared" si="35"/>
        <v>420</v>
      </c>
      <c r="AK24" s="7">
        <f t="shared" si="19"/>
        <v>13.622613328767628</v>
      </c>
      <c r="AL24" s="7" t="e">
        <f t="shared" si="20"/>
        <v>#VALUE!</v>
      </c>
      <c r="AM24" s="7" t="e">
        <f t="shared" si="21"/>
        <v>#VALUE!</v>
      </c>
      <c r="AN24" s="7" t="e">
        <f t="shared" si="22"/>
        <v>#VALUE!</v>
      </c>
      <c r="AO24" s="7" t="e">
        <f t="shared" si="23"/>
        <v>#VALUE!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55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14.411169830817371</v>
      </c>
      <c r="S25" s="7" t="e">
        <f t="shared" si="3"/>
        <v>#VALUE!</v>
      </c>
      <c r="T25" s="7" t="e">
        <f t="shared" si="4"/>
        <v>#VALUE!</v>
      </c>
      <c r="U25" s="7" t="e">
        <f t="shared" si="5"/>
        <v>#VALUE!</v>
      </c>
      <c r="V25" s="7" t="e">
        <f t="shared" si="6"/>
        <v>#VALUE!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6.366197723675814</v>
      </c>
      <c r="AJ25">
        <f t="shared" si="35"/>
        <v>440</v>
      </c>
      <c r="AK25" s="7">
        <f t="shared" si="19"/>
        <v>12.668591851827621</v>
      </c>
      <c r="AL25" s="7" t="e">
        <f t="shared" si="20"/>
        <v>#VALUE!</v>
      </c>
      <c r="AM25" s="7" t="e">
        <f t="shared" si="21"/>
        <v>#VALUE!</v>
      </c>
      <c r="AN25" s="7" t="e">
        <f t="shared" si="22"/>
        <v>#VALUE!</v>
      </c>
      <c r="AO25" s="7" t="e">
        <f t="shared" si="23"/>
        <v>#VALUE!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56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12.639793760562409</v>
      </c>
      <c r="S26" s="7" t="e">
        <f t="shared" si="3"/>
        <v>#VALUE!</v>
      </c>
      <c r="T26" s="7" t="e">
        <f t="shared" si="4"/>
        <v>#VALUE!</v>
      </c>
      <c r="U26" s="7" t="e">
        <f t="shared" si="5"/>
        <v>#VALUE!</v>
      </c>
      <c r="V26" s="7" t="e">
        <f t="shared" si="6"/>
        <v>#VALUE!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6.366197723675814</v>
      </c>
      <c r="AJ26">
        <f t="shared" si="35"/>
        <v>460</v>
      </c>
      <c r="AK26" s="7">
        <f t="shared" si="19"/>
        <v>11.738866692873852</v>
      </c>
      <c r="AL26" s="7" t="e">
        <f t="shared" si="20"/>
        <v>#VALUE!</v>
      </c>
      <c r="AM26" s="7" t="e">
        <f t="shared" si="21"/>
        <v>#VALUE!</v>
      </c>
      <c r="AN26" s="7" t="e">
        <f t="shared" si="22"/>
        <v>#VALUE!</v>
      </c>
      <c r="AO26" s="7" t="e">
        <f t="shared" si="23"/>
        <v>#VALUE!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57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10.99977191453611</v>
      </c>
      <c r="S27" s="7" t="e">
        <f t="shared" si="3"/>
        <v>#VALUE!</v>
      </c>
      <c r="T27" s="7" t="e">
        <f t="shared" si="4"/>
        <v>#VALUE!</v>
      </c>
      <c r="U27" s="7" t="e">
        <f t="shared" si="5"/>
        <v>#VALUE!</v>
      </c>
      <c r="V27" s="7" t="e">
        <f t="shared" si="6"/>
        <v>#VALUE!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6.366197723675814</v>
      </c>
      <c r="AJ27">
        <f t="shared" si="35"/>
        <v>480</v>
      </c>
      <c r="AK27" s="7">
        <f t="shared" si="19"/>
        <v>10.828483190819076</v>
      </c>
      <c r="AL27" s="7" t="e">
        <f t="shared" si="20"/>
        <v>#VALUE!</v>
      </c>
      <c r="AM27" s="7" t="e">
        <f t="shared" si="21"/>
        <v>#VALUE!</v>
      </c>
      <c r="AN27" s="7" t="e">
        <f t="shared" si="22"/>
        <v>#VALUE!</v>
      </c>
      <c r="AO27" s="7" t="e">
        <f t="shared" si="23"/>
        <v>#VALUE!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58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9.477016024319008</v>
      </c>
      <c r="S28" s="7" t="e">
        <f t="shared" si="3"/>
        <v>#VALUE!</v>
      </c>
      <c r="T28" s="7" t="e">
        <f t="shared" si="4"/>
        <v>#VALUE!</v>
      </c>
      <c r="U28" s="7" t="e">
        <f t="shared" si="5"/>
        <v>#VALUE!</v>
      </c>
      <c r="V28" s="7" t="e">
        <f t="shared" si="6"/>
        <v>#VALUE!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6.366197723675814</v>
      </c>
      <c r="AJ28">
        <f t="shared" si="35"/>
        <v>500</v>
      </c>
      <c r="AK28" s="7">
        <f t="shared" si="19"/>
        <v>9.9335057848989781</v>
      </c>
      <c r="AL28" s="7" t="e">
        <f t="shared" si="20"/>
        <v>#VALUE!</v>
      </c>
      <c r="AM28" s="7" t="e">
        <f t="shared" si="21"/>
        <v>#VALUE!</v>
      </c>
      <c r="AN28" s="7" t="e">
        <f t="shared" si="22"/>
        <v>#VALUE!</v>
      </c>
      <c r="AO28" s="7" t="e">
        <f t="shared" si="23"/>
        <v>#VALUE!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59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8.0593829774333905</v>
      </c>
      <c r="S29" s="7" t="e">
        <f t="shared" si="3"/>
        <v>#VALUE!</v>
      </c>
      <c r="T29" s="7" t="e">
        <f t="shared" si="4"/>
        <v>#VALUE!</v>
      </c>
      <c r="U29" s="7" t="e">
        <f t="shared" si="5"/>
        <v>#VALUE!</v>
      </c>
      <c r="V29" s="7" t="e">
        <f t="shared" si="6"/>
        <v>#VALUE!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6.366197723675814</v>
      </c>
      <c r="AJ29">
        <f t="shared" si="35"/>
        <v>520</v>
      </c>
      <c r="AK29" s="7">
        <f t="shared" si="19"/>
        <v>9.0507903837860706</v>
      </c>
      <c r="AL29" s="7" t="e">
        <f t="shared" si="20"/>
        <v>#VALUE!</v>
      </c>
      <c r="AM29" s="7" t="e">
        <f t="shared" si="21"/>
        <v>#VALUE!</v>
      </c>
      <c r="AN29" s="7" t="e">
        <f t="shared" si="22"/>
        <v>#VALUE!</v>
      </c>
      <c r="AO29" s="7" t="e">
        <f t="shared" si="23"/>
        <v>#VALUE!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6.7363503107792351</v>
      </c>
      <c r="S30" s="7" t="e">
        <f t="shared" si="3"/>
        <v>#VALUE!</v>
      </c>
      <c r="T30" s="7" t="e">
        <f t="shared" si="4"/>
        <v>#VALUE!</v>
      </c>
      <c r="U30" s="7" t="e">
        <f t="shared" si="5"/>
        <v>#VALUE!</v>
      </c>
      <c r="V30" s="7" t="e">
        <f t="shared" si="6"/>
        <v>#VALUE!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6.366197723675814</v>
      </c>
      <c r="AJ30">
        <f t="shared" si="35"/>
        <v>540</v>
      </c>
      <c r="AK30" s="7">
        <f t="shared" si="19"/>
        <v>8.1778123189150769</v>
      </c>
      <c r="AL30" s="7" t="e">
        <f t="shared" si="20"/>
        <v>#VALUE!</v>
      </c>
      <c r="AM30" s="7" t="e">
        <f t="shared" si="21"/>
        <v>#VALUE!</v>
      </c>
      <c r="AN30" s="7" t="e">
        <f t="shared" si="22"/>
        <v>#VALUE!</v>
      </c>
      <c r="AO30" s="7" t="e">
        <f t="shared" si="23"/>
        <v>#VALUE!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5.4987545706435306</v>
      </c>
      <c r="S31" s="7" t="e">
        <f t="shared" si="3"/>
        <v>#VALUE!</v>
      </c>
      <c r="T31" s="7" t="e">
        <f t="shared" si="4"/>
        <v>#VALUE!</v>
      </c>
      <c r="U31" s="7" t="e">
        <f t="shared" si="5"/>
        <v>#VALUE!</v>
      </c>
      <c r="V31" s="7" t="e">
        <f t="shared" si="6"/>
        <v>#VALUE!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6.366197723675814</v>
      </c>
      <c r="AJ31">
        <f t="shared" si="35"/>
        <v>560</v>
      </c>
      <c r="AK31" s="7">
        <f t="shared" si="19"/>
        <v>7.3125351287307918</v>
      </c>
      <c r="AL31" s="7" t="e">
        <f t="shared" si="20"/>
        <v>#VALUE!</v>
      </c>
      <c r="AM31" s="7" t="e">
        <f t="shared" si="21"/>
        <v>#VALUE!</v>
      </c>
      <c r="AN31" s="7" t="e">
        <f t="shared" si="22"/>
        <v>#VALUE!</v>
      </c>
      <c r="AO31" s="7" t="e">
        <f t="shared" si="23"/>
        <v>#VALUE!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4.338578774737508</v>
      </c>
      <c r="S32" s="7" t="e">
        <f t="shared" si="3"/>
        <v>#VALUE!</v>
      </c>
      <c r="T32" s="7" t="e">
        <f t="shared" si="4"/>
        <v>#VALUE!</v>
      </c>
      <c r="U32" s="7" t="e">
        <f t="shared" si="5"/>
        <v>#VALUE!</v>
      </c>
      <c r="V32" s="7" t="e">
        <f t="shared" si="6"/>
        <v>#VALUE!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6.366197723675814</v>
      </c>
      <c r="AJ32">
        <f t="shared" si="35"/>
        <v>580</v>
      </c>
      <c r="AK32" s="7">
        <f t="shared" si="19"/>
        <v>6.4533096431580592</v>
      </c>
      <c r="AL32" s="7" t="e">
        <f t="shared" si="20"/>
        <v>#VALUE!</v>
      </c>
      <c r="AM32" s="7" t="e">
        <f t="shared" si="21"/>
        <v>#VALUE!</v>
      </c>
      <c r="AN32" s="7" t="e">
        <f t="shared" si="22"/>
        <v>#VALUE!</v>
      </c>
      <c r="AO32" s="7" t="e">
        <f t="shared" si="23"/>
        <v>#VALUE!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3.2487785515124932</v>
      </c>
      <c r="S33" s="7" t="e">
        <f t="shared" si="3"/>
        <v>#VALUE!</v>
      </c>
      <c r="T33" s="7" t="e">
        <f t="shared" si="4"/>
        <v>#VALUE!</v>
      </c>
      <c r="U33" s="7" t="e">
        <f t="shared" si="5"/>
        <v>#VALUE!</v>
      </c>
      <c r="V33" s="7" t="e">
        <f t="shared" si="6"/>
        <v>#VALUE!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6.366197723675814</v>
      </c>
      <c r="AJ33">
        <f t="shared" si="35"/>
        <v>600</v>
      </c>
      <c r="AK33" s="7">
        <f t="shared" si="19"/>
        <v>5.5987957670251154</v>
      </c>
      <c r="AL33" s="7" t="e">
        <f t="shared" si="20"/>
        <v>#VALUE!</v>
      </c>
      <c r="AM33" s="7" t="e">
        <f t="shared" si="21"/>
        <v>#VALUE!</v>
      </c>
      <c r="AN33" s="7" t="e">
        <f t="shared" si="22"/>
        <v>#VALUE!</v>
      </c>
      <c r="AO33" s="7" t="e">
        <f t="shared" si="23"/>
        <v>#VALUE!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2.2231389869828089</v>
      </c>
      <c r="S34" s="7" t="e">
        <f t="shared" si="3"/>
        <v>#VALUE!</v>
      </c>
      <c r="T34" s="7" t="e">
        <f t="shared" si="4"/>
        <v>#VALUE!</v>
      </c>
      <c r="U34" s="7" t="e">
        <f t="shared" si="5"/>
        <v>#VALUE!</v>
      </c>
      <c r="V34" s="7" t="e">
        <f t="shared" si="6"/>
        <v>#VALUE!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6.366197723675814</v>
      </c>
      <c r="AJ34">
        <f t="shared" si="35"/>
        <v>620</v>
      </c>
      <c r="AK34" s="7">
        <f t="shared" si="19"/>
        <v>4.747901418261514</v>
      </c>
      <c r="AL34" s="7" t="e">
        <f t="shared" si="20"/>
        <v>#VALUE!</v>
      </c>
      <c r="AM34" s="7" t="e">
        <f t="shared" si="21"/>
        <v>#VALUE!</v>
      </c>
      <c r="AN34" s="7" t="e">
        <f t="shared" si="22"/>
        <v>#VALUE!</v>
      </c>
      <c r="AO34" s="7" t="e">
        <f t="shared" si="23"/>
        <v>#VALUE!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1.2561560324579162</v>
      </c>
      <c r="S35" s="7" t="e">
        <f t="shared" ref="S35:S66" si="43">SingleCoilTorque($F$15,$G$15,$H$15,$I$15,$J$15,$K$15,$C$2,$M$15,$P35)-$N$15</f>
        <v>#VALUE!</v>
      </c>
      <c r="T35" s="7" t="e">
        <f t="shared" ref="T35:T66" si="44">SingleCoilTorque($F$16,$G$16,$H$16,$I$16,$J$16,$K$16,$C$2,$M$16,$P35)-$N$16</f>
        <v>#VALUE!</v>
      </c>
      <c r="U35" s="7" t="e">
        <f t="shared" ref="U35:U66" si="45">SingleCoilTorque($F$17,$G$17,$H$17,$I$17,$J$17,$K$17,$C$2,$M$17,$P35)-$N$17</f>
        <v>#VALUE!</v>
      </c>
      <c r="V35" s="7" t="e">
        <f t="shared" ref="V35:V66" si="46">SingleCoilTorque($F$18,$G$18,$H$18,$I$18,$J$18,$K$18,$C$2,$M$18,$P35)-$N$18</f>
        <v>#VALUE!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6.366197723675814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 t="e">
        <f t="shared" ref="AL35:AL66" si="60">StepperPower($F$15,$G$15,$H$15,$I$15,$J$15,$K$15,$C$2,$M$15,$P35)</f>
        <v>#VALUE!</v>
      </c>
      <c r="AM35" s="7" t="e">
        <f t="shared" ref="AM35:AM66" si="61">StepperPower($F$16,$G$16,$H$16,$I$16,$J$16,$K$16,$C$2,$M$16,$P35)</f>
        <v>#VALUE!</v>
      </c>
      <c r="AN35" s="7" t="e">
        <f t="shared" ref="AN35:AN66" si="62">StepperPower($F$17,$G$17,$H$17,$I$17,$J$17,$K$17,$C$2,$M$17,$P35)</f>
        <v>#VALUE!</v>
      </c>
      <c r="AO35" s="7" t="e">
        <f t="shared" ref="AO35:AO66" si="63">StepperPower($F$18,$G$18,$H$18,$I$18,$J$18,$K$18,$C$2,$M$18,$P35)</f>
        <v>#VALUE!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0.34293769359853243</v>
      </c>
      <c r="S36" s="7" t="e">
        <f t="shared" si="43"/>
        <v>#VALUE!</v>
      </c>
      <c r="T36" s="7" t="e">
        <f t="shared" si="44"/>
        <v>#VALUE!</v>
      </c>
      <c r="U36" s="7" t="e">
        <f t="shared" si="45"/>
        <v>#VALUE!</v>
      </c>
      <c r="V36" s="7" t="e">
        <f t="shared" si="46"/>
        <v>#VALUE!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6.366197723675814</v>
      </c>
      <c r="AJ36">
        <f t="shared" si="35"/>
        <v>660</v>
      </c>
      <c r="AK36" s="7">
        <f t="shared" si="59"/>
        <v>3.0535651352185704</v>
      </c>
      <c r="AL36" s="7" t="e">
        <f t="shared" si="60"/>
        <v>#VALUE!</v>
      </c>
      <c r="AM36" s="7" t="e">
        <f t="shared" si="61"/>
        <v>#VALUE!</v>
      </c>
      <c r="AN36" s="7" t="e">
        <f t="shared" si="62"/>
        <v>#VALUE!</v>
      </c>
      <c r="AO36" s="7" t="e">
        <f t="shared" si="63"/>
        <v>#VALUE!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-0.52087874455351191</v>
      </c>
      <c r="S37" s="7" t="e">
        <f t="shared" si="43"/>
        <v>#VALUE!</v>
      </c>
      <c r="T37" s="7" t="e">
        <f t="shared" si="44"/>
        <v>#VALUE!</v>
      </c>
      <c r="U37" s="7" t="e">
        <f t="shared" si="45"/>
        <v>#VALUE!</v>
      </c>
      <c r="V37" s="7" t="e">
        <f t="shared" si="46"/>
        <v>#VALUE!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6.366197723675814</v>
      </c>
      <c r="AJ37">
        <f t="shared" si="35"/>
        <v>680</v>
      </c>
      <c r="AK37" s="7">
        <f t="shared" si="59"/>
        <v>2.208795099221744</v>
      </c>
      <c r="AL37" s="7" t="e">
        <f t="shared" si="60"/>
        <v>#VALUE!</v>
      </c>
      <c r="AM37" s="7" t="e">
        <f t="shared" si="61"/>
        <v>#VALUE!</v>
      </c>
      <c r="AN37" s="7" t="e">
        <f t="shared" si="62"/>
        <v>#VALUE!</v>
      </c>
      <c r="AO37" s="7" t="e">
        <f t="shared" si="63"/>
        <v>#VALUE!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-1.3391964128244491</v>
      </c>
      <c r="S38" s="7" t="e">
        <f t="shared" si="43"/>
        <v>#VALUE!</v>
      </c>
      <c r="T38" s="7" t="e">
        <f t="shared" si="44"/>
        <v>#VALUE!</v>
      </c>
      <c r="U38" s="7" t="e">
        <f t="shared" si="45"/>
        <v>#VALUE!</v>
      </c>
      <c r="V38" s="7" t="e">
        <f t="shared" si="46"/>
        <v>#VALUE!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6.366197723675814</v>
      </c>
      <c r="AJ38">
        <f t="shared" si="35"/>
        <v>700</v>
      </c>
      <c r="AK38" s="7">
        <f t="shared" si="59"/>
        <v>1.3649340480342043</v>
      </c>
      <c r="AL38" s="7" t="e">
        <f t="shared" si="60"/>
        <v>#VALUE!</v>
      </c>
      <c r="AM38" s="7" t="e">
        <f t="shared" si="61"/>
        <v>#VALUE!</v>
      </c>
      <c r="AN38" s="7" t="e">
        <f t="shared" si="62"/>
        <v>#VALUE!</v>
      </c>
      <c r="AO38" s="7" t="e">
        <f t="shared" si="63"/>
        <v>#VALUE!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-2.1155178228272473</v>
      </c>
      <c r="S39" s="7" t="e">
        <f t="shared" si="43"/>
        <v>#VALUE!</v>
      </c>
      <c r="T39" s="7" t="e">
        <f t="shared" si="44"/>
        <v>#VALUE!</v>
      </c>
      <c r="U39" s="7" t="e">
        <f t="shared" si="45"/>
        <v>#VALUE!</v>
      </c>
      <c r="V39" s="7" t="e">
        <f t="shared" si="46"/>
        <v>#VALUE!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6.366197723675814</v>
      </c>
      <c r="AJ39">
        <f t="shared" si="35"/>
        <v>720</v>
      </c>
      <c r="AK39" s="7">
        <f t="shared" si="59"/>
        <v>0.52157991769722922</v>
      </c>
      <c r="AL39" s="7" t="e">
        <f t="shared" si="60"/>
        <v>#VALUE!</v>
      </c>
      <c r="AM39" s="7" t="e">
        <f t="shared" si="61"/>
        <v>#VALUE!</v>
      </c>
      <c r="AN39" s="7" t="e">
        <f t="shared" si="62"/>
        <v>#VALUE!</v>
      </c>
      <c r="AO39" s="7" t="e">
        <f t="shared" si="63"/>
        <v>#VALUE!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-2.57610597594363</v>
      </c>
      <c r="S40" s="7" t="e">
        <f t="shared" si="43"/>
        <v>#VALUE!</v>
      </c>
      <c r="T40" s="7" t="e">
        <f t="shared" si="44"/>
        <v>#VALUE!</v>
      </c>
      <c r="U40" s="7" t="e">
        <f t="shared" si="45"/>
        <v>#VALUE!</v>
      </c>
      <c r="V40" s="7" t="e">
        <f t="shared" si="46"/>
        <v>#VALUE!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6.366197723675814</v>
      </c>
      <c r="AJ40">
        <f t="shared" si="35"/>
        <v>740</v>
      </c>
      <c r="AK40" s="7">
        <f t="shared" si="59"/>
        <v>0</v>
      </c>
      <c r="AL40" s="7" t="e">
        <f t="shared" si="60"/>
        <v>#VALUE!</v>
      </c>
      <c r="AM40" s="7" t="e">
        <f t="shared" si="61"/>
        <v>#VALUE!</v>
      </c>
      <c r="AN40" s="7" t="e">
        <f t="shared" si="62"/>
        <v>#VALUE!</v>
      </c>
      <c r="AO40" s="7" t="e">
        <f t="shared" si="63"/>
        <v>#VALUE!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-2.57610597594363</v>
      </c>
      <c r="S41" s="7" t="e">
        <f t="shared" si="43"/>
        <v>#VALUE!</v>
      </c>
      <c r="T41" s="7" t="e">
        <f t="shared" si="44"/>
        <v>#VALUE!</v>
      </c>
      <c r="U41" s="7" t="e">
        <f t="shared" si="45"/>
        <v>#VALUE!</v>
      </c>
      <c r="V41" s="7" t="e">
        <f t="shared" si="46"/>
        <v>#VALUE!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6.366197723675814</v>
      </c>
      <c r="AJ41">
        <f t="shared" si="35"/>
        <v>760</v>
      </c>
      <c r="AK41" s="7">
        <f t="shared" si="59"/>
        <v>0</v>
      </c>
      <c r="AL41" s="7" t="e">
        <f t="shared" si="60"/>
        <v>#VALUE!</v>
      </c>
      <c r="AM41" s="7" t="e">
        <f t="shared" si="61"/>
        <v>#VALUE!</v>
      </c>
      <c r="AN41" s="7" t="e">
        <f t="shared" si="62"/>
        <v>#VALUE!</v>
      </c>
      <c r="AO41" s="7" t="e">
        <f t="shared" si="63"/>
        <v>#VALUE!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-2.57610597594363</v>
      </c>
      <c r="S42" s="7" t="e">
        <f t="shared" si="43"/>
        <v>#VALUE!</v>
      </c>
      <c r="T42" s="7" t="e">
        <f t="shared" si="44"/>
        <v>#VALUE!</v>
      </c>
      <c r="U42" s="7" t="e">
        <f t="shared" si="45"/>
        <v>#VALUE!</v>
      </c>
      <c r="V42" s="7" t="e">
        <f t="shared" si="46"/>
        <v>#VALUE!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6.366197723675814</v>
      </c>
      <c r="AJ42">
        <f t="shared" si="35"/>
        <v>780</v>
      </c>
      <c r="AK42" s="7">
        <f t="shared" si="59"/>
        <v>0</v>
      </c>
      <c r="AL42" s="7" t="e">
        <f t="shared" si="60"/>
        <v>#VALUE!</v>
      </c>
      <c r="AM42" s="7" t="e">
        <f t="shared" si="61"/>
        <v>#VALUE!</v>
      </c>
      <c r="AN42" s="7" t="e">
        <f t="shared" si="62"/>
        <v>#VALUE!</v>
      </c>
      <c r="AO42" s="7" t="e">
        <f t="shared" si="63"/>
        <v>#VALUE!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-2.57610597594363</v>
      </c>
      <c r="S43" s="7" t="e">
        <f t="shared" si="43"/>
        <v>#VALUE!</v>
      </c>
      <c r="T43" s="7" t="e">
        <f t="shared" si="44"/>
        <v>#VALUE!</v>
      </c>
      <c r="U43" s="7" t="e">
        <f t="shared" si="45"/>
        <v>#VALUE!</v>
      </c>
      <c r="V43" s="7" t="e">
        <f t="shared" si="46"/>
        <v>#VALUE!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6.366197723675814</v>
      </c>
      <c r="AJ43">
        <f t="shared" si="35"/>
        <v>800</v>
      </c>
      <c r="AK43" s="7">
        <f t="shared" si="59"/>
        <v>0</v>
      </c>
      <c r="AL43" s="7" t="e">
        <f t="shared" si="60"/>
        <v>#VALUE!</v>
      </c>
      <c r="AM43" s="7" t="e">
        <f t="shared" si="61"/>
        <v>#VALUE!</v>
      </c>
      <c r="AN43" s="7" t="e">
        <f t="shared" si="62"/>
        <v>#VALUE!</v>
      </c>
      <c r="AO43" s="7" t="e">
        <f t="shared" si="63"/>
        <v>#VALUE!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-2.57610597594363</v>
      </c>
      <c r="S44" s="7" t="e">
        <f t="shared" si="43"/>
        <v>#VALUE!</v>
      </c>
      <c r="T44" s="7" t="e">
        <f t="shared" si="44"/>
        <v>#VALUE!</v>
      </c>
      <c r="U44" s="7" t="e">
        <f t="shared" si="45"/>
        <v>#VALUE!</v>
      </c>
      <c r="V44" s="7" t="e">
        <f t="shared" si="46"/>
        <v>#VALUE!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6.366197723675814</v>
      </c>
      <c r="AJ44">
        <f t="shared" si="35"/>
        <v>820</v>
      </c>
      <c r="AK44" s="7">
        <f t="shared" si="59"/>
        <v>0</v>
      </c>
      <c r="AL44" s="7" t="e">
        <f t="shared" si="60"/>
        <v>#VALUE!</v>
      </c>
      <c r="AM44" s="7" t="e">
        <f t="shared" si="61"/>
        <v>#VALUE!</v>
      </c>
      <c r="AN44" s="7" t="e">
        <f t="shared" si="62"/>
        <v>#VALUE!</v>
      </c>
      <c r="AO44" s="7" t="e">
        <f t="shared" si="63"/>
        <v>#VALUE!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-2.57610597594363</v>
      </c>
      <c r="S45" s="7" t="e">
        <f t="shared" si="43"/>
        <v>#VALUE!</v>
      </c>
      <c r="T45" s="7" t="e">
        <f t="shared" si="44"/>
        <v>#VALUE!</v>
      </c>
      <c r="U45" s="7" t="e">
        <f t="shared" si="45"/>
        <v>#VALUE!</v>
      </c>
      <c r="V45" s="7" t="e">
        <f t="shared" si="46"/>
        <v>#VALUE!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6.366197723675814</v>
      </c>
      <c r="AJ45">
        <f t="shared" si="35"/>
        <v>840</v>
      </c>
      <c r="AK45" s="7">
        <f t="shared" si="59"/>
        <v>0</v>
      </c>
      <c r="AL45" s="7" t="e">
        <f t="shared" si="60"/>
        <v>#VALUE!</v>
      </c>
      <c r="AM45" s="7" t="e">
        <f t="shared" si="61"/>
        <v>#VALUE!</v>
      </c>
      <c r="AN45" s="7" t="e">
        <f t="shared" si="62"/>
        <v>#VALUE!</v>
      </c>
      <c r="AO45" s="7" t="e">
        <f t="shared" si="63"/>
        <v>#VALUE!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-2.57610597594363</v>
      </c>
      <c r="S46" s="7" t="e">
        <f t="shared" si="43"/>
        <v>#VALUE!</v>
      </c>
      <c r="T46" s="7" t="e">
        <f t="shared" si="44"/>
        <v>#VALUE!</v>
      </c>
      <c r="U46" s="7" t="e">
        <f t="shared" si="45"/>
        <v>#VALUE!</v>
      </c>
      <c r="V46" s="7" t="e">
        <f t="shared" si="46"/>
        <v>#VALUE!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6.366197723675814</v>
      </c>
      <c r="AJ46">
        <f t="shared" si="35"/>
        <v>860</v>
      </c>
      <c r="AK46" s="7">
        <f t="shared" si="59"/>
        <v>0</v>
      </c>
      <c r="AL46" s="7" t="e">
        <f t="shared" si="60"/>
        <v>#VALUE!</v>
      </c>
      <c r="AM46" s="7" t="e">
        <f t="shared" si="61"/>
        <v>#VALUE!</v>
      </c>
      <c r="AN46" s="7" t="e">
        <f t="shared" si="62"/>
        <v>#VALUE!</v>
      </c>
      <c r="AO46" s="7" t="e">
        <f t="shared" si="63"/>
        <v>#VALUE!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-2.57610597594363</v>
      </c>
      <c r="S47" s="7" t="e">
        <f t="shared" si="43"/>
        <v>#VALUE!</v>
      </c>
      <c r="T47" s="7" t="e">
        <f t="shared" si="44"/>
        <v>#VALUE!</v>
      </c>
      <c r="U47" s="7" t="e">
        <f t="shared" si="45"/>
        <v>#VALUE!</v>
      </c>
      <c r="V47" s="7" t="e">
        <f t="shared" si="46"/>
        <v>#VALUE!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6.366197723675814</v>
      </c>
      <c r="AJ47">
        <f t="shared" si="35"/>
        <v>880</v>
      </c>
      <c r="AK47" s="7">
        <f t="shared" si="59"/>
        <v>0</v>
      </c>
      <c r="AL47" s="7" t="e">
        <f t="shared" si="60"/>
        <v>#VALUE!</v>
      </c>
      <c r="AM47" s="7" t="e">
        <f t="shared" si="61"/>
        <v>#VALUE!</v>
      </c>
      <c r="AN47" s="7" t="e">
        <f t="shared" si="62"/>
        <v>#VALUE!</v>
      </c>
      <c r="AO47" s="7" t="e">
        <f t="shared" si="63"/>
        <v>#VALUE!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-2.57610597594363</v>
      </c>
      <c r="S48" s="7" t="e">
        <f t="shared" si="43"/>
        <v>#VALUE!</v>
      </c>
      <c r="T48" s="7" t="e">
        <f t="shared" si="44"/>
        <v>#VALUE!</v>
      </c>
      <c r="U48" s="7" t="e">
        <f t="shared" si="45"/>
        <v>#VALUE!</v>
      </c>
      <c r="V48" s="7" t="e">
        <f t="shared" si="46"/>
        <v>#VALUE!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6.366197723675814</v>
      </c>
      <c r="AJ48">
        <f t="shared" si="35"/>
        <v>900</v>
      </c>
      <c r="AK48" s="7">
        <f t="shared" si="59"/>
        <v>0</v>
      </c>
      <c r="AL48" s="7" t="e">
        <f t="shared" si="60"/>
        <v>#VALUE!</v>
      </c>
      <c r="AM48" s="7" t="e">
        <f t="shared" si="61"/>
        <v>#VALUE!</v>
      </c>
      <c r="AN48" s="7" t="e">
        <f t="shared" si="62"/>
        <v>#VALUE!</v>
      </c>
      <c r="AO48" s="7" t="e">
        <f t="shared" si="63"/>
        <v>#VALUE!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-2.57610597594363</v>
      </c>
      <c r="S49" s="7" t="e">
        <f t="shared" si="43"/>
        <v>#VALUE!</v>
      </c>
      <c r="T49" s="7" t="e">
        <f t="shared" si="44"/>
        <v>#VALUE!</v>
      </c>
      <c r="U49" s="7" t="e">
        <f t="shared" si="45"/>
        <v>#VALUE!</v>
      </c>
      <c r="V49" s="7" t="e">
        <f t="shared" si="46"/>
        <v>#VALUE!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6.366197723675814</v>
      </c>
      <c r="AJ49">
        <f t="shared" si="35"/>
        <v>920</v>
      </c>
      <c r="AK49" s="7">
        <f t="shared" si="59"/>
        <v>0</v>
      </c>
      <c r="AL49" s="7" t="e">
        <f t="shared" si="60"/>
        <v>#VALUE!</v>
      </c>
      <c r="AM49" s="7" t="e">
        <f t="shared" si="61"/>
        <v>#VALUE!</v>
      </c>
      <c r="AN49" s="7" t="e">
        <f t="shared" si="62"/>
        <v>#VALUE!</v>
      </c>
      <c r="AO49" s="7" t="e">
        <f t="shared" si="63"/>
        <v>#VALUE!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-2.57610597594363</v>
      </c>
      <c r="S50" s="7" t="e">
        <f t="shared" si="43"/>
        <v>#VALUE!</v>
      </c>
      <c r="T50" s="7" t="e">
        <f t="shared" si="44"/>
        <v>#VALUE!</v>
      </c>
      <c r="U50" s="7" t="e">
        <f t="shared" si="45"/>
        <v>#VALUE!</v>
      </c>
      <c r="V50" s="7" t="e">
        <f t="shared" si="46"/>
        <v>#VALUE!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6.366197723675814</v>
      </c>
      <c r="AJ50">
        <f t="shared" si="35"/>
        <v>940</v>
      </c>
      <c r="AK50" s="7">
        <f t="shared" si="59"/>
        <v>0</v>
      </c>
      <c r="AL50" s="7" t="e">
        <f t="shared" si="60"/>
        <v>#VALUE!</v>
      </c>
      <c r="AM50" s="7" t="e">
        <f t="shared" si="61"/>
        <v>#VALUE!</v>
      </c>
      <c r="AN50" s="7" t="e">
        <f t="shared" si="62"/>
        <v>#VALUE!</v>
      </c>
      <c r="AO50" s="7" t="e">
        <f t="shared" si="63"/>
        <v>#VALUE!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-2.57610597594363</v>
      </c>
      <c r="S51" s="7" t="e">
        <f t="shared" si="43"/>
        <v>#VALUE!</v>
      </c>
      <c r="T51" s="7" t="e">
        <f t="shared" si="44"/>
        <v>#VALUE!</v>
      </c>
      <c r="U51" s="7" t="e">
        <f t="shared" si="45"/>
        <v>#VALUE!</v>
      </c>
      <c r="V51" s="7" t="e">
        <f t="shared" si="46"/>
        <v>#VALUE!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6.366197723675814</v>
      </c>
      <c r="AJ51">
        <f t="shared" si="35"/>
        <v>960</v>
      </c>
      <c r="AK51" s="7">
        <f t="shared" si="59"/>
        <v>0</v>
      </c>
      <c r="AL51" s="7" t="e">
        <f t="shared" si="60"/>
        <v>#VALUE!</v>
      </c>
      <c r="AM51" s="7" t="e">
        <f t="shared" si="61"/>
        <v>#VALUE!</v>
      </c>
      <c r="AN51" s="7" t="e">
        <f t="shared" si="62"/>
        <v>#VALUE!</v>
      </c>
      <c r="AO51" s="7" t="e">
        <f t="shared" si="63"/>
        <v>#VALUE!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-2.57610597594363</v>
      </c>
      <c r="S52" s="7" t="e">
        <f t="shared" si="43"/>
        <v>#VALUE!</v>
      </c>
      <c r="T52" s="7" t="e">
        <f t="shared" si="44"/>
        <v>#VALUE!</v>
      </c>
      <c r="U52" s="7" t="e">
        <f t="shared" si="45"/>
        <v>#VALUE!</v>
      </c>
      <c r="V52" s="7" t="e">
        <f t="shared" si="46"/>
        <v>#VALUE!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6.366197723675814</v>
      </c>
      <c r="AJ52">
        <f t="shared" si="35"/>
        <v>980</v>
      </c>
      <c r="AK52" s="7">
        <f t="shared" si="59"/>
        <v>0</v>
      </c>
      <c r="AL52" s="7" t="e">
        <f t="shared" si="60"/>
        <v>#VALUE!</v>
      </c>
      <c r="AM52" s="7" t="e">
        <f t="shared" si="61"/>
        <v>#VALUE!</v>
      </c>
      <c r="AN52" s="7" t="e">
        <f t="shared" si="62"/>
        <v>#VALUE!</v>
      </c>
      <c r="AO52" s="7" t="e">
        <f t="shared" si="63"/>
        <v>#VALUE!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-2.57610597594363</v>
      </c>
      <c r="S53" s="7" t="e">
        <f t="shared" si="43"/>
        <v>#VALUE!</v>
      </c>
      <c r="T53" s="7" t="e">
        <f t="shared" si="44"/>
        <v>#VALUE!</v>
      </c>
      <c r="U53" s="7" t="e">
        <f t="shared" si="45"/>
        <v>#VALUE!</v>
      </c>
      <c r="V53" s="7" t="e">
        <f t="shared" si="46"/>
        <v>#VALUE!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6.366197723675814</v>
      </c>
      <c r="AJ53">
        <f t="shared" si="35"/>
        <v>1000</v>
      </c>
      <c r="AK53" s="7">
        <f t="shared" si="59"/>
        <v>0</v>
      </c>
      <c r="AL53" s="7" t="e">
        <f t="shared" si="60"/>
        <v>#VALUE!</v>
      </c>
      <c r="AM53" s="7" t="e">
        <f t="shared" si="61"/>
        <v>#VALUE!</v>
      </c>
      <c r="AN53" s="7" t="e">
        <f t="shared" si="62"/>
        <v>#VALUE!</v>
      </c>
      <c r="AO53" s="7" t="e">
        <f t="shared" si="63"/>
        <v>#VALUE!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-2.57610597594363</v>
      </c>
      <c r="S54" s="7" t="e">
        <f t="shared" si="43"/>
        <v>#VALUE!</v>
      </c>
      <c r="T54" s="7" t="e">
        <f t="shared" si="44"/>
        <v>#VALUE!</v>
      </c>
      <c r="U54" s="7" t="e">
        <f t="shared" si="45"/>
        <v>#VALUE!</v>
      </c>
      <c r="V54" s="7" t="e">
        <f t="shared" si="46"/>
        <v>#VALUE!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6.366197723675814</v>
      </c>
      <c r="AJ54">
        <f t="shared" si="35"/>
        <v>1020</v>
      </c>
      <c r="AK54" s="7">
        <f t="shared" si="59"/>
        <v>0</v>
      </c>
      <c r="AL54" s="7" t="e">
        <f t="shared" si="60"/>
        <v>#VALUE!</v>
      </c>
      <c r="AM54" s="7" t="e">
        <f t="shared" si="61"/>
        <v>#VALUE!</v>
      </c>
      <c r="AN54" s="7" t="e">
        <f t="shared" si="62"/>
        <v>#VALUE!</v>
      </c>
      <c r="AO54" s="7" t="e">
        <f t="shared" si="63"/>
        <v>#VALUE!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-2.57610597594363</v>
      </c>
      <c r="S55" s="7" t="e">
        <f t="shared" si="43"/>
        <v>#VALUE!</v>
      </c>
      <c r="T55" s="7" t="e">
        <f t="shared" si="44"/>
        <v>#VALUE!</v>
      </c>
      <c r="U55" s="7" t="e">
        <f t="shared" si="45"/>
        <v>#VALUE!</v>
      </c>
      <c r="V55" s="7" t="e">
        <f t="shared" si="46"/>
        <v>#VALUE!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6.366197723675814</v>
      </c>
      <c r="AJ55">
        <f t="shared" si="35"/>
        <v>1040</v>
      </c>
      <c r="AK55" s="7">
        <f t="shared" si="59"/>
        <v>0</v>
      </c>
      <c r="AL55" s="7" t="e">
        <f t="shared" si="60"/>
        <v>#VALUE!</v>
      </c>
      <c r="AM55" s="7" t="e">
        <f t="shared" si="61"/>
        <v>#VALUE!</v>
      </c>
      <c r="AN55" s="7" t="e">
        <f t="shared" si="62"/>
        <v>#VALUE!</v>
      </c>
      <c r="AO55" s="7" t="e">
        <f t="shared" si="63"/>
        <v>#VALUE!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-2.57610597594363</v>
      </c>
      <c r="S56" s="7" t="e">
        <f t="shared" si="43"/>
        <v>#VALUE!</v>
      </c>
      <c r="T56" s="7" t="e">
        <f t="shared" si="44"/>
        <v>#VALUE!</v>
      </c>
      <c r="U56" s="7" t="e">
        <f t="shared" si="45"/>
        <v>#VALUE!</v>
      </c>
      <c r="V56" s="7" t="e">
        <f t="shared" si="46"/>
        <v>#VALUE!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6.366197723675814</v>
      </c>
      <c r="AJ56">
        <f t="shared" si="35"/>
        <v>1060</v>
      </c>
      <c r="AK56" s="7">
        <f t="shared" si="59"/>
        <v>0</v>
      </c>
      <c r="AL56" s="7" t="e">
        <f t="shared" si="60"/>
        <v>#VALUE!</v>
      </c>
      <c r="AM56" s="7" t="e">
        <f t="shared" si="61"/>
        <v>#VALUE!</v>
      </c>
      <c r="AN56" s="7" t="e">
        <f t="shared" si="62"/>
        <v>#VALUE!</v>
      </c>
      <c r="AO56" s="7" t="e">
        <f t="shared" si="63"/>
        <v>#VALUE!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-2.57610597594363</v>
      </c>
      <c r="S57" s="7" t="e">
        <f t="shared" si="43"/>
        <v>#VALUE!</v>
      </c>
      <c r="T57" s="7" t="e">
        <f t="shared" si="44"/>
        <v>#VALUE!</v>
      </c>
      <c r="U57" s="7" t="e">
        <f t="shared" si="45"/>
        <v>#VALUE!</v>
      </c>
      <c r="V57" s="7" t="e">
        <f t="shared" si="46"/>
        <v>#VALUE!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6.366197723675814</v>
      </c>
      <c r="AJ57">
        <f t="shared" si="35"/>
        <v>1080</v>
      </c>
      <c r="AK57" s="7">
        <f t="shared" si="59"/>
        <v>0</v>
      </c>
      <c r="AL57" s="7" t="e">
        <f t="shared" si="60"/>
        <v>#VALUE!</v>
      </c>
      <c r="AM57" s="7" t="e">
        <f t="shared" si="61"/>
        <v>#VALUE!</v>
      </c>
      <c r="AN57" s="7" t="e">
        <f t="shared" si="62"/>
        <v>#VALUE!</v>
      </c>
      <c r="AO57" s="7" t="e">
        <f t="shared" si="63"/>
        <v>#VALUE!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-2.57610597594363</v>
      </c>
      <c r="S58" s="7" t="e">
        <f t="shared" si="43"/>
        <v>#VALUE!</v>
      </c>
      <c r="T58" s="7" t="e">
        <f t="shared" si="44"/>
        <v>#VALUE!</v>
      </c>
      <c r="U58" s="7" t="e">
        <f t="shared" si="45"/>
        <v>#VALUE!</v>
      </c>
      <c r="V58" s="7" t="e">
        <f t="shared" si="46"/>
        <v>#VALUE!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6.366197723675814</v>
      </c>
      <c r="AJ58">
        <f t="shared" si="35"/>
        <v>1100</v>
      </c>
      <c r="AK58" s="7">
        <f t="shared" si="59"/>
        <v>0</v>
      </c>
      <c r="AL58" s="7" t="e">
        <f t="shared" si="60"/>
        <v>#VALUE!</v>
      </c>
      <c r="AM58" s="7" t="e">
        <f t="shared" si="61"/>
        <v>#VALUE!</v>
      </c>
      <c r="AN58" s="7" t="e">
        <f t="shared" si="62"/>
        <v>#VALUE!</v>
      </c>
      <c r="AO58" s="7" t="e">
        <f t="shared" si="63"/>
        <v>#VALUE!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-2.57610597594363</v>
      </c>
      <c r="S59" s="7" t="e">
        <f t="shared" si="43"/>
        <v>#VALUE!</v>
      </c>
      <c r="T59" s="7" t="e">
        <f t="shared" si="44"/>
        <v>#VALUE!</v>
      </c>
      <c r="U59" s="7" t="e">
        <f t="shared" si="45"/>
        <v>#VALUE!</v>
      </c>
      <c r="V59" s="7" t="e">
        <f t="shared" si="46"/>
        <v>#VALUE!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6.366197723675814</v>
      </c>
      <c r="AJ59">
        <f t="shared" si="35"/>
        <v>1120</v>
      </c>
      <c r="AK59" s="7">
        <f t="shared" si="59"/>
        <v>0</v>
      </c>
      <c r="AL59" s="7" t="e">
        <f t="shared" si="60"/>
        <v>#VALUE!</v>
      </c>
      <c r="AM59" s="7" t="e">
        <f t="shared" si="61"/>
        <v>#VALUE!</v>
      </c>
      <c r="AN59" s="7" t="e">
        <f t="shared" si="62"/>
        <v>#VALUE!</v>
      </c>
      <c r="AO59" s="7" t="e">
        <f t="shared" si="63"/>
        <v>#VALUE!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-2.57610597594363</v>
      </c>
      <c r="S60" s="7" t="e">
        <f t="shared" si="43"/>
        <v>#VALUE!</v>
      </c>
      <c r="T60" s="7" t="e">
        <f t="shared" si="44"/>
        <v>#VALUE!</v>
      </c>
      <c r="U60" s="7" t="e">
        <f t="shared" si="45"/>
        <v>#VALUE!</v>
      </c>
      <c r="V60" s="7" t="e">
        <f t="shared" si="46"/>
        <v>#VALUE!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6.366197723675814</v>
      </c>
      <c r="AJ60">
        <f t="shared" si="35"/>
        <v>1140</v>
      </c>
      <c r="AK60" s="7">
        <f t="shared" si="59"/>
        <v>0</v>
      </c>
      <c r="AL60" s="7" t="e">
        <f t="shared" si="60"/>
        <v>#VALUE!</v>
      </c>
      <c r="AM60" s="7" t="e">
        <f t="shared" si="61"/>
        <v>#VALUE!</v>
      </c>
      <c r="AN60" s="7" t="e">
        <f t="shared" si="62"/>
        <v>#VALUE!</v>
      </c>
      <c r="AO60" s="7" t="e">
        <f t="shared" si="63"/>
        <v>#VALUE!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-2.57610597594363</v>
      </c>
      <c r="S61" s="7" t="e">
        <f t="shared" si="43"/>
        <v>#VALUE!</v>
      </c>
      <c r="T61" s="7" t="e">
        <f t="shared" si="44"/>
        <v>#VALUE!</v>
      </c>
      <c r="U61" s="7" t="e">
        <f t="shared" si="45"/>
        <v>#VALUE!</v>
      </c>
      <c r="V61" s="7" t="e">
        <f t="shared" si="46"/>
        <v>#VALUE!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6.366197723675814</v>
      </c>
      <c r="AJ61">
        <f t="shared" si="35"/>
        <v>1160</v>
      </c>
      <c r="AK61" s="7">
        <f t="shared" si="59"/>
        <v>0</v>
      </c>
      <c r="AL61" s="7" t="e">
        <f t="shared" si="60"/>
        <v>#VALUE!</v>
      </c>
      <c r="AM61" s="7" t="e">
        <f t="shared" si="61"/>
        <v>#VALUE!</v>
      </c>
      <c r="AN61" s="7" t="e">
        <f t="shared" si="62"/>
        <v>#VALUE!</v>
      </c>
      <c r="AO61" s="7" t="e">
        <f t="shared" si="63"/>
        <v>#VALUE!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-2.57610597594363</v>
      </c>
      <c r="S62" s="7" t="e">
        <f t="shared" si="43"/>
        <v>#VALUE!</v>
      </c>
      <c r="T62" s="7" t="e">
        <f t="shared" si="44"/>
        <v>#VALUE!</v>
      </c>
      <c r="U62" s="7" t="e">
        <f t="shared" si="45"/>
        <v>#VALUE!</v>
      </c>
      <c r="V62" s="7" t="e">
        <f t="shared" si="46"/>
        <v>#VALUE!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6.366197723675814</v>
      </c>
      <c r="AJ62">
        <f t="shared" si="35"/>
        <v>1180</v>
      </c>
      <c r="AK62" s="7">
        <f t="shared" si="59"/>
        <v>0</v>
      </c>
      <c r="AL62" s="7" t="e">
        <f t="shared" si="60"/>
        <v>#VALUE!</v>
      </c>
      <c r="AM62" s="7" t="e">
        <f t="shared" si="61"/>
        <v>#VALUE!</v>
      </c>
      <c r="AN62" s="7" t="e">
        <f t="shared" si="62"/>
        <v>#VALUE!</v>
      </c>
      <c r="AO62" s="7" t="e">
        <f t="shared" si="63"/>
        <v>#VALUE!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-2.57610597594363</v>
      </c>
      <c r="S63" s="7" t="e">
        <f t="shared" si="43"/>
        <v>#VALUE!</v>
      </c>
      <c r="T63" s="7" t="e">
        <f t="shared" si="44"/>
        <v>#VALUE!</v>
      </c>
      <c r="U63" s="7" t="e">
        <f t="shared" si="45"/>
        <v>#VALUE!</v>
      </c>
      <c r="V63" s="7" t="e">
        <f t="shared" si="46"/>
        <v>#VALUE!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6.366197723675814</v>
      </c>
      <c r="AJ63">
        <f t="shared" si="35"/>
        <v>1200</v>
      </c>
      <c r="AK63" s="7">
        <f t="shared" si="59"/>
        <v>0</v>
      </c>
      <c r="AL63" s="7" t="e">
        <f t="shared" si="60"/>
        <v>#VALUE!</v>
      </c>
      <c r="AM63" s="7" t="e">
        <f t="shared" si="61"/>
        <v>#VALUE!</v>
      </c>
      <c r="AN63" s="7" t="e">
        <f t="shared" si="62"/>
        <v>#VALUE!</v>
      </c>
      <c r="AO63" s="7" t="e">
        <f t="shared" si="63"/>
        <v>#VALUE!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-2.57610597594363</v>
      </c>
      <c r="S64" s="7" t="e">
        <f t="shared" si="43"/>
        <v>#VALUE!</v>
      </c>
      <c r="T64" s="7" t="e">
        <f t="shared" si="44"/>
        <v>#VALUE!</v>
      </c>
      <c r="U64" s="7" t="e">
        <f t="shared" si="45"/>
        <v>#VALUE!</v>
      </c>
      <c r="V64" s="7" t="e">
        <f t="shared" si="46"/>
        <v>#VALUE!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6.366197723675814</v>
      </c>
      <c r="AJ64">
        <f t="shared" si="35"/>
        <v>1220</v>
      </c>
      <c r="AK64" s="7">
        <f t="shared" si="59"/>
        <v>0</v>
      </c>
      <c r="AL64" s="7" t="e">
        <f t="shared" si="60"/>
        <v>#VALUE!</v>
      </c>
      <c r="AM64" s="7" t="e">
        <f t="shared" si="61"/>
        <v>#VALUE!</v>
      </c>
      <c r="AN64" s="7" t="e">
        <f t="shared" si="62"/>
        <v>#VALUE!</v>
      </c>
      <c r="AO64" s="7" t="e">
        <f t="shared" si="63"/>
        <v>#VALUE!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">
      <c r="P65">
        <f t="shared" si="36"/>
        <v>31</v>
      </c>
      <c r="Q65">
        <f t="shared" si="41"/>
        <v>1240</v>
      </c>
      <c r="R65" s="7">
        <f t="shared" si="42"/>
        <v>-2.57610597594363</v>
      </c>
      <c r="S65" s="7" t="e">
        <f t="shared" si="43"/>
        <v>#VALUE!</v>
      </c>
      <c r="T65" s="7" t="e">
        <f t="shared" si="44"/>
        <v>#VALUE!</v>
      </c>
      <c r="U65" s="7" t="e">
        <f t="shared" si="45"/>
        <v>#VALUE!</v>
      </c>
      <c r="V65" s="7" t="e">
        <f t="shared" si="46"/>
        <v>#VALUE!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6.366197723675814</v>
      </c>
      <c r="AJ65">
        <f t="shared" si="35"/>
        <v>1240</v>
      </c>
      <c r="AK65" s="7">
        <f t="shared" si="59"/>
        <v>0</v>
      </c>
      <c r="AL65" s="7" t="e">
        <f t="shared" si="60"/>
        <v>#VALUE!</v>
      </c>
      <c r="AM65" s="7" t="e">
        <f t="shared" si="61"/>
        <v>#VALUE!</v>
      </c>
      <c r="AN65" s="7" t="e">
        <f t="shared" si="62"/>
        <v>#VALUE!</v>
      </c>
      <c r="AO65" s="7" t="e">
        <f t="shared" si="63"/>
        <v>#VALUE!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">
      <c r="P66">
        <f t="shared" si="36"/>
        <v>31.5</v>
      </c>
      <c r="Q66">
        <f t="shared" si="41"/>
        <v>1260</v>
      </c>
      <c r="R66" s="7">
        <f t="shared" si="42"/>
        <v>-2.57610597594363</v>
      </c>
      <c r="S66" s="7" t="e">
        <f t="shared" si="43"/>
        <v>#VALUE!</v>
      </c>
      <c r="T66" s="7" t="e">
        <f t="shared" si="44"/>
        <v>#VALUE!</v>
      </c>
      <c r="U66" s="7" t="e">
        <f t="shared" si="45"/>
        <v>#VALUE!</v>
      </c>
      <c r="V66" s="7" t="e">
        <f t="shared" si="46"/>
        <v>#VALUE!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6.366197723675814</v>
      </c>
      <c r="AJ66">
        <f t="shared" si="35"/>
        <v>1260</v>
      </c>
      <c r="AK66" s="7">
        <f t="shared" si="59"/>
        <v>0</v>
      </c>
      <c r="AL66" s="7" t="e">
        <f t="shared" si="60"/>
        <v>#VALUE!</v>
      </c>
      <c r="AM66" s="7" t="e">
        <f t="shared" si="61"/>
        <v>#VALUE!</v>
      </c>
      <c r="AN66" s="7" t="e">
        <f t="shared" si="62"/>
        <v>#VALUE!</v>
      </c>
      <c r="AO66" s="7" t="e">
        <f t="shared" si="63"/>
        <v>#VALUE!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-2.57610597594363</v>
      </c>
      <c r="S67" s="7" t="e">
        <f t="shared" ref="S67:S102" si="77">SingleCoilTorque($F$15,$G$15,$H$15,$I$15,$J$15,$K$15,$C$2,$M$15,$P67)-$N$15</f>
        <v>#VALUE!</v>
      </c>
      <c r="T67" s="7" t="e">
        <f t="shared" ref="T67:T102" si="78">SingleCoilTorque($F$16,$G$16,$H$16,$I$16,$J$16,$K$16,$C$2,$M$16,$P67)-$N$16</f>
        <v>#VALUE!</v>
      </c>
      <c r="U67" s="7" t="e">
        <f t="shared" ref="U67:U102" si="79">SingleCoilTorque($F$17,$G$17,$H$17,$I$17,$J$17,$K$17,$C$2,$M$17,$P67)-$N$17</f>
        <v>#VALUE!</v>
      </c>
      <c r="V67" s="7" t="e">
        <f t="shared" ref="V67:V102" si="80">SingleCoilTorque($F$18,$G$18,$H$18,$I$18,$J$18,$K$18,$C$2,$M$18,$P67)-$N$18</f>
        <v>#VALUE!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6.366197723675814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 t="e">
        <f t="shared" ref="AL67:AL102" si="93">StepperPower($F$15,$G$15,$H$15,$I$15,$J$15,$K$15,$C$2,$M$15,$P67)</f>
        <v>#VALUE!</v>
      </c>
      <c r="AM67" s="7" t="e">
        <f t="shared" ref="AM67:AM102" si="94">StepperPower($F$16,$G$16,$H$16,$I$16,$J$16,$K$16,$C$2,$M$16,$P67)</f>
        <v>#VALUE!</v>
      </c>
      <c r="AN67" s="7" t="e">
        <f t="shared" ref="AN67:AN102" si="95">StepperPower($F$17,$G$17,$H$17,$I$17,$J$17,$K$17,$C$2,$M$17,$P67)</f>
        <v>#VALUE!</v>
      </c>
      <c r="AO67" s="7" t="e">
        <f t="shared" ref="AO67:AO102" si="96">StepperPower($F$18,$G$18,$H$18,$I$18,$J$18,$K$18,$C$2,$M$18,$P67)</f>
        <v>#VALUE!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ref="Q68:Q102" si="108">P68*$C$6*2/$C$7</f>
        <v>1300</v>
      </c>
      <c r="R68" s="7">
        <f t="shared" si="76"/>
        <v>-2.57610597594363</v>
      </c>
      <c r="S68" s="7" t="e">
        <f t="shared" si="77"/>
        <v>#VALUE!</v>
      </c>
      <c r="T68" s="7" t="e">
        <f t="shared" si="78"/>
        <v>#VALUE!</v>
      </c>
      <c r="U68" s="7" t="e">
        <f t="shared" si="79"/>
        <v>#VALUE!</v>
      </c>
      <c r="V68" s="7" t="e">
        <f t="shared" si="80"/>
        <v>#VALUE!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6.366197723675814</v>
      </c>
      <c r="AJ68">
        <f t="shared" ref="AJ68:AJ102" si="110">Q68</f>
        <v>1300</v>
      </c>
      <c r="AK68" s="7">
        <f t="shared" si="92"/>
        <v>0</v>
      </c>
      <c r="AL68" s="7" t="e">
        <f t="shared" si="93"/>
        <v>#VALUE!</v>
      </c>
      <c r="AM68" s="7" t="e">
        <f t="shared" si="94"/>
        <v>#VALUE!</v>
      </c>
      <c r="AN68" s="7" t="e">
        <f t="shared" si="95"/>
        <v>#VALUE!</v>
      </c>
      <c r="AO68" s="7" t="e">
        <f t="shared" si="96"/>
        <v>#VALUE!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">
      <c r="P69">
        <f t="shared" ref="P69:P102" si="111">P68+0.5</f>
        <v>33</v>
      </c>
      <c r="Q69">
        <f t="shared" si="108"/>
        <v>1320</v>
      </c>
      <c r="R69" s="7">
        <f t="shared" si="76"/>
        <v>-2.57610597594363</v>
      </c>
      <c r="S69" s="7" t="e">
        <f t="shared" si="77"/>
        <v>#VALUE!</v>
      </c>
      <c r="T69" s="7" t="e">
        <f t="shared" si="78"/>
        <v>#VALUE!</v>
      </c>
      <c r="U69" s="7" t="e">
        <f t="shared" si="79"/>
        <v>#VALUE!</v>
      </c>
      <c r="V69" s="7" t="e">
        <f t="shared" si="80"/>
        <v>#VALUE!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6.366197723675814</v>
      </c>
      <c r="AJ69">
        <f t="shared" si="110"/>
        <v>1320</v>
      </c>
      <c r="AK69" s="7">
        <f t="shared" si="92"/>
        <v>0</v>
      </c>
      <c r="AL69" s="7" t="e">
        <f t="shared" si="93"/>
        <v>#VALUE!</v>
      </c>
      <c r="AM69" s="7" t="e">
        <f t="shared" si="94"/>
        <v>#VALUE!</v>
      </c>
      <c r="AN69" s="7" t="e">
        <f t="shared" si="95"/>
        <v>#VALUE!</v>
      </c>
      <c r="AO69" s="7" t="e">
        <f t="shared" si="96"/>
        <v>#VALUE!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">
      <c r="P70">
        <f t="shared" si="111"/>
        <v>33.5</v>
      </c>
      <c r="Q70">
        <f t="shared" si="108"/>
        <v>1340</v>
      </c>
      <c r="R70" s="7">
        <f t="shared" si="76"/>
        <v>-2.57610597594363</v>
      </c>
      <c r="S70" s="7" t="e">
        <f t="shared" si="77"/>
        <v>#VALUE!</v>
      </c>
      <c r="T70" s="7" t="e">
        <f t="shared" si="78"/>
        <v>#VALUE!</v>
      </c>
      <c r="U70" s="7" t="e">
        <f t="shared" si="79"/>
        <v>#VALUE!</v>
      </c>
      <c r="V70" s="7" t="e">
        <f t="shared" si="80"/>
        <v>#VALUE!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6.366197723675814</v>
      </c>
      <c r="AJ70">
        <f t="shared" si="110"/>
        <v>1340</v>
      </c>
      <c r="AK70" s="7">
        <f t="shared" si="92"/>
        <v>0</v>
      </c>
      <c r="AL70" s="7" t="e">
        <f t="shared" si="93"/>
        <v>#VALUE!</v>
      </c>
      <c r="AM70" s="7" t="e">
        <f t="shared" si="94"/>
        <v>#VALUE!</v>
      </c>
      <c r="AN70" s="7" t="e">
        <f t="shared" si="95"/>
        <v>#VALUE!</v>
      </c>
      <c r="AO70" s="7" t="e">
        <f t="shared" si="96"/>
        <v>#VALUE!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">
      <c r="P71">
        <f t="shared" si="111"/>
        <v>34</v>
      </c>
      <c r="Q71">
        <f t="shared" si="108"/>
        <v>1360</v>
      </c>
      <c r="R71" s="7">
        <f t="shared" si="76"/>
        <v>-2.57610597594363</v>
      </c>
      <c r="S71" s="7" t="e">
        <f t="shared" si="77"/>
        <v>#VALUE!</v>
      </c>
      <c r="T71" s="7" t="e">
        <f t="shared" si="78"/>
        <v>#VALUE!</v>
      </c>
      <c r="U71" s="7" t="e">
        <f t="shared" si="79"/>
        <v>#VALUE!</v>
      </c>
      <c r="V71" s="7" t="e">
        <f t="shared" si="80"/>
        <v>#VALUE!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6.366197723675814</v>
      </c>
      <c r="AJ71">
        <f t="shared" si="110"/>
        <v>1360</v>
      </c>
      <c r="AK71" s="7">
        <f t="shared" si="92"/>
        <v>0</v>
      </c>
      <c r="AL71" s="7" t="e">
        <f t="shared" si="93"/>
        <v>#VALUE!</v>
      </c>
      <c r="AM71" s="7" t="e">
        <f t="shared" si="94"/>
        <v>#VALUE!</v>
      </c>
      <c r="AN71" s="7" t="e">
        <f t="shared" si="95"/>
        <v>#VALUE!</v>
      </c>
      <c r="AO71" s="7" t="e">
        <f t="shared" si="96"/>
        <v>#VALUE!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">
      <c r="P72">
        <f t="shared" si="111"/>
        <v>34.5</v>
      </c>
      <c r="Q72">
        <f t="shared" si="108"/>
        <v>1380</v>
      </c>
      <c r="R72" s="7">
        <f t="shared" si="76"/>
        <v>-2.57610597594363</v>
      </c>
      <c r="S72" s="7" t="e">
        <f t="shared" si="77"/>
        <v>#VALUE!</v>
      </c>
      <c r="T72" s="7" t="e">
        <f t="shared" si="78"/>
        <v>#VALUE!</v>
      </c>
      <c r="U72" s="7" t="e">
        <f t="shared" si="79"/>
        <v>#VALUE!</v>
      </c>
      <c r="V72" s="7" t="e">
        <f t="shared" si="80"/>
        <v>#VALUE!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6.366197723675814</v>
      </c>
      <c r="AJ72">
        <f t="shared" si="110"/>
        <v>1380</v>
      </c>
      <c r="AK72" s="7">
        <f t="shared" si="92"/>
        <v>0</v>
      </c>
      <c r="AL72" s="7" t="e">
        <f t="shared" si="93"/>
        <v>#VALUE!</v>
      </c>
      <c r="AM72" s="7" t="e">
        <f t="shared" si="94"/>
        <v>#VALUE!</v>
      </c>
      <c r="AN72" s="7" t="e">
        <f t="shared" si="95"/>
        <v>#VALUE!</v>
      </c>
      <c r="AO72" s="7" t="e">
        <f t="shared" si="96"/>
        <v>#VALUE!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">
      <c r="P73">
        <f t="shared" si="111"/>
        <v>35</v>
      </c>
      <c r="Q73">
        <f t="shared" si="108"/>
        <v>1400</v>
      </c>
      <c r="R73" s="7">
        <f t="shared" si="76"/>
        <v>-2.57610597594363</v>
      </c>
      <c r="S73" s="7" t="e">
        <f t="shared" si="77"/>
        <v>#VALUE!</v>
      </c>
      <c r="T73" s="7" t="e">
        <f t="shared" si="78"/>
        <v>#VALUE!</v>
      </c>
      <c r="U73" s="7" t="e">
        <f t="shared" si="79"/>
        <v>#VALUE!</v>
      </c>
      <c r="V73" s="7" t="e">
        <f t="shared" si="80"/>
        <v>#VALUE!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6.366197723675814</v>
      </c>
      <c r="AJ73">
        <f t="shared" si="110"/>
        <v>1400</v>
      </c>
      <c r="AK73" s="7">
        <f t="shared" si="92"/>
        <v>0</v>
      </c>
      <c r="AL73" s="7" t="e">
        <f t="shared" si="93"/>
        <v>#VALUE!</v>
      </c>
      <c r="AM73" s="7" t="e">
        <f t="shared" si="94"/>
        <v>#VALUE!</v>
      </c>
      <c r="AN73" s="7" t="e">
        <f t="shared" si="95"/>
        <v>#VALUE!</v>
      </c>
      <c r="AO73" s="7" t="e">
        <f t="shared" si="96"/>
        <v>#VALUE!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">
      <c r="P74">
        <f t="shared" si="111"/>
        <v>35.5</v>
      </c>
      <c r="Q74">
        <f t="shared" si="108"/>
        <v>1420</v>
      </c>
      <c r="R74" s="7">
        <f t="shared" si="76"/>
        <v>-2.57610597594363</v>
      </c>
      <c r="S74" s="7" t="e">
        <f t="shared" si="77"/>
        <v>#VALUE!</v>
      </c>
      <c r="T74" s="7" t="e">
        <f t="shared" si="78"/>
        <v>#VALUE!</v>
      </c>
      <c r="U74" s="7" t="e">
        <f t="shared" si="79"/>
        <v>#VALUE!</v>
      </c>
      <c r="V74" s="7" t="e">
        <f t="shared" si="80"/>
        <v>#VALUE!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6.366197723675814</v>
      </c>
      <c r="AJ74">
        <f t="shared" si="110"/>
        <v>1420</v>
      </c>
      <c r="AK74" s="7">
        <f t="shared" si="92"/>
        <v>0</v>
      </c>
      <c r="AL74" s="7" t="e">
        <f t="shared" si="93"/>
        <v>#VALUE!</v>
      </c>
      <c r="AM74" s="7" t="e">
        <f t="shared" si="94"/>
        <v>#VALUE!</v>
      </c>
      <c r="AN74" s="7" t="e">
        <f t="shared" si="95"/>
        <v>#VALUE!</v>
      </c>
      <c r="AO74" s="7" t="e">
        <f t="shared" si="96"/>
        <v>#VALUE!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">
      <c r="P75">
        <f t="shared" si="111"/>
        <v>36</v>
      </c>
      <c r="Q75">
        <f t="shared" si="108"/>
        <v>1440</v>
      </c>
      <c r="R75" s="7">
        <f t="shared" si="76"/>
        <v>-2.57610597594363</v>
      </c>
      <c r="S75" s="7" t="e">
        <f t="shared" si="77"/>
        <v>#VALUE!</v>
      </c>
      <c r="T75" s="7" t="e">
        <f t="shared" si="78"/>
        <v>#VALUE!</v>
      </c>
      <c r="U75" s="7" t="e">
        <f t="shared" si="79"/>
        <v>#VALUE!</v>
      </c>
      <c r="V75" s="7" t="e">
        <f t="shared" si="80"/>
        <v>#VALUE!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6.366197723675814</v>
      </c>
      <c r="AJ75">
        <f t="shared" si="110"/>
        <v>1440</v>
      </c>
      <c r="AK75" s="7">
        <f t="shared" si="92"/>
        <v>0</v>
      </c>
      <c r="AL75" s="7" t="e">
        <f t="shared" si="93"/>
        <v>#VALUE!</v>
      </c>
      <c r="AM75" s="7" t="e">
        <f t="shared" si="94"/>
        <v>#VALUE!</v>
      </c>
      <c r="AN75" s="7" t="e">
        <f t="shared" si="95"/>
        <v>#VALUE!</v>
      </c>
      <c r="AO75" s="7" t="e">
        <f t="shared" si="96"/>
        <v>#VALUE!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">
      <c r="P76">
        <f t="shared" si="111"/>
        <v>36.5</v>
      </c>
      <c r="Q76">
        <f t="shared" si="108"/>
        <v>1460</v>
      </c>
      <c r="R76" s="7">
        <f t="shared" si="76"/>
        <v>-2.57610597594363</v>
      </c>
      <c r="S76" s="7" t="e">
        <f t="shared" si="77"/>
        <v>#VALUE!</v>
      </c>
      <c r="T76" s="7" t="e">
        <f t="shared" si="78"/>
        <v>#VALUE!</v>
      </c>
      <c r="U76" s="7" t="e">
        <f t="shared" si="79"/>
        <v>#VALUE!</v>
      </c>
      <c r="V76" s="7" t="e">
        <f t="shared" si="80"/>
        <v>#VALUE!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6.366197723675814</v>
      </c>
      <c r="AJ76">
        <f t="shared" si="110"/>
        <v>1460</v>
      </c>
      <c r="AK76" s="7">
        <f t="shared" si="92"/>
        <v>0</v>
      </c>
      <c r="AL76" s="7" t="e">
        <f t="shared" si="93"/>
        <v>#VALUE!</v>
      </c>
      <c r="AM76" s="7" t="e">
        <f t="shared" si="94"/>
        <v>#VALUE!</v>
      </c>
      <c r="AN76" s="7" t="e">
        <f t="shared" si="95"/>
        <v>#VALUE!</v>
      </c>
      <c r="AO76" s="7" t="e">
        <f t="shared" si="96"/>
        <v>#VALUE!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">
      <c r="P77">
        <f t="shared" si="111"/>
        <v>37</v>
      </c>
      <c r="Q77">
        <f t="shared" si="108"/>
        <v>1480</v>
      </c>
      <c r="R77" s="7">
        <f t="shared" si="76"/>
        <v>-2.57610597594363</v>
      </c>
      <c r="S77" s="7" t="e">
        <f t="shared" si="77"/>
        <v>#VALUE!</v>
      </c>
      <c r="T77" s="7" t="e">
        <f t="shared" si="78"/>
        <v>#VALUE!</v>
      </c>
      <c r="U77" s="7" t="e">
        <f t="shared" si="79"/>
        <v>#VALUE!</v>
      </c>
      <c r="V77" s="7" t="e">
        <f t="shared" si="80"/>
        <v>#VALUE!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6.366197723675814</v>
      </c>
      <c r="AJ77">
        <f t="shared" si="110"/>
        <v>1480</v>
      </c>
      <c r="AK77" s="7">
        <f t="shared" si="92"/>
        <v>0</v>
      </c>
      <c r="AL77" s="7" t="e">
        <f t="shared" si="93"/>
        <v>#VALUE!</v>
      </c>
      <c r="AM77" s="7" t="e">
        <f t="shared" si="94"/>
        <v>#VALUE!</v>
      </c>
      <c r="AN77" s="7" t="e">
        <f t="shared" si="95"/>
        <v>#VALUE!</v>
      </c>
      <c r="AO77" s="7" t="e">
        <f t="shared" si="96"/>
        <v>#VALUE!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">
      <c r="P78">
        <f t="shared" si="111"/>
        <v>37.5</v>
      </c>
      <c r="Q78">
        <f t="shared" si="108"/>
        <v>1500</v>
      </c>
      <c r="R78" s="7">
        <f t="shared" si="76"/>
        <v>-2.57610597594363</v>
      </c>
      <c r="S78" s="7" t="e">
        <f t="shared" si="77"/>
        <v>#VALUE!</v>
      </c>
      <c r="T78" s="7" t="e">
        <f t="shared" si="78"/>
        <v>#VALUE!</v>
      </c>
      <c r="U78" s="7" t="e">
        <f t="shared" si="79"/>
        <v>#VALUE!</v>
      </c>
      <c r="V78" s="7" t="e">
        <f t="shared" si="80"/>
        <v>#VALUE!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6.366197723675814</v>
      </c>
      <c r="AJ78">
        <f t="shared" si="110"/>
        <v>1500</v>
      </c>
      <c r="AK78" s="7">
        <f t="shared" si="92"/>
        <v>0</v>
      </c>
      <c r="AL78" s="7" t="e">
        <f t="shared" si="93"/>
        <v>#VALUE!</v>
      </c>
      <c r="AM78" s="7" t="e">
        <f t="shared" si="94"/>
        <v>#VALUE!</v>
      </c>
      <c r="AN78" s="7" t="e">
        <f t="shared" si="95"/>
        <v>#VALUE!</v>
      </c>
      <c r="AO78" s="7" t="e">
        <f t="shared" si="96"/>
        <v>#VALUE!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">
      <c r="P79">
        <f t="shared" si="111"/>
        <v>38</v>
      </c>
      <c r="Q79">
        <f t="shared" si="108"/>
        <v>1520</v>
      </c>
      <c r="R79" s="7">
        <f t="shared" si="76"/>
        <v>-2.57610597594363</v>
      </c>
      <c r="S79" s="7" t="e">
        <f t="shared" si="77"/>
        <v>#VALUE!</v>
      </c>
      <c r="T79" s="7" t="e">
        <f t="shared" si="78"/>
        <v>#VALUE!</v>
      </c>
      <c r="U79" s="7" t="e">
        <f t="shared" si="79"/>
        <v>#VALUE!</v>
      </c>
      <c r="V79" s="7" t="e">
        <f t="shared" si="80"/>
        <v>#VALUE!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6.366197723675814</v>
      </c>
      <c r="AJ79">
        <f t="shared" si="110"/>
        <v>1520</v>
      </c>
      <c r="AK79" s="7">
        <f t="shared" si="92"/>
        <v>0</v>
      </c>
      <c r="AL79" s="7" t="e">
        <f t="shared" si="93"/>
        <v>#VALUE!</v>
      </c>
      <c r="AM79" s="7" t="e">
        <f t="shared" si="94"/>
        <v>#VALUE!</v>
      </c>
      <c r="AN79" s="7" t="e">
        <f t="shared" si="95"/>
        <v>#VALUE!</v>
      </c>
      <c r="AO79" s="7" t="e">
        <f t="shared" si="96"/>
        <v>#VALUE!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">
      <c r="P80">
        <f t="shared" si="111"/>
        <v>38.5</v>
      </c>
      <c r="Q80">
        <f t="shared" si="108"/>
        <v>1540</v>
      </c>
      <c r="R80" s="7">
        <f t="shared" si="76"/>
        <v>-2.57610597594363</v>
      </c>
      <c r="S80" s="7" t="e">
        <f t="shared" si="77"/>
        <v>#VALUE!</v>
      </c>
      <c r="T80" s="7" t="e">
        <f t="shared" si="78"/>
        <v>#VALUE!</v>
      </c>
      <c r="U80" s="7" t="e">
        <f t="shared" si="79"/>
        <v>#VALUE!</v>
      </c>
      <c r="V80" s="7" t="e">
        <f t="shared" si="80"/>
        <v>#VALUE!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6.366197723675814</v>
      </c>
      <c r="AJ80">
        <f t="shared" si="110"/>
        <v>1540</v>
      </c>
      <c r="AK80" s="7">
        <f t="shared" si="92"/>
        <v>0</v>
      </c>
      <c r="AL80" s="7" t="e">
        <f t="shared" si="93"/>
        <v>#VALUE!</v>
      </c>
      <c r="AM80" s="7" t="e">
        <f t="shared" si="94"/>
        <v>#VALUE!</v>
      </c>
      <c r="AN80" s="7" t="e">
        <f t="shared" si="95"/>
        <v>#VALUE!</v>
      </c>
      <c r="AO80" s="7" t="e">
        <f t="shared" si="96"/>
        <v>#VALUE!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">
      <c r="P81">
        <f t="shared" si="111"/>
        <v>39</v>
      </c>
      <c r="Q81">
        <f t="shared" si="108"/>
        <v>1560</v>
      </c>
      <c r="R81" s="7">
        <f t="shared" si="76"/>
        <v>-2.57610597594363</v>
      </c>
      <c r="S81" s="7" t="e">
        <f t="shared" si="77"/>
        <v>#VALUE!</v>
      </c>
      <c r="T81" s="7" t="e">
        <f t="shared" si="78"/>
        <v>#VALUE!</v>
      </c>
      <c r="U81" s="7" t="e">
        <f t="shared" si="79"/>
        <v>#VALUE!</v>
      </c>
      <c r="V81" s="7" t="e">
        <f t="shared" si="80"/>
        <v>#VALUE!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6.366197723675814</v>
      </c>
      <c r="AJ81">
        <f t="shared" si="110"/>
        <v>1560</v>
      </c>
      <c r="AK81" s="7">
        <f t="shared" si="92"/>
        <v>0</v>
      </c>
      <c r="AL81" s="7" t="e">
        <f t="shared" si="93"/>
        <v>#VALUE!</v>
      </c>
      <c r="AM81" s="7" t="e">
        <f t="shared" si="94"/>
        <v>#VALUE!</v>
      </c>
      <c r="AN81" s="7" t="e">
        <f t="shared" si="95"/>
        <v>#VALUE!</v>
      </c>
      <c r="AO81" s="7" t="e">
        <f t="shared" si="96"/>
        <v>#VALUE!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">
      <c r="P82">
        <f t="shared" si="111"/>
        <v>39.5</v>
      </c>
      <c r="Q82">
        <f t="shared" si="108"/>
        <v>1580</v>
      </c>
      <c r="R82" s="7">
        <f t="shared" si="76"/>
        <v>-2.57610597594363</v>
      </c>
      <c r="S82" s="7" t="e">
        <f t="shared" si="77"/>
        <v>#VALUE!</v>
      </c>
      <c r="T82" s="7" t="e">
        <f t="shared" si="78"/>
        <v>#VALUE!</v>
      </c>
      <c r="U82" s="7" t="e">
        <f t="shared" si="79"/>
        <v>#VALUE!</v>
      </c>
      <c r="V82" s="7" t="e">
        <f t="shared" si="80"/>
        <v>#VALUE!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6.366197723675814</v>
      </c>
      <c r="AJ82">
        <f t="shared" si="110"/>
        <v>1580</v>
      </c>
      <c r="AK82" s="7">
        <f t="shared" si="92"/>
        <v>0</v>
      </c>
      <c r="AL82" s="7" t="e">
        <f t="shared" si="93"/>
        <v>#VALUE!</v>
      </c>
      <c r="AM82" s="7" t="e">
        <f t="shared" si="94"/>
        <v>#VALUE!</v>
      </c>
      <c r="AN82" s="7" t="e">
        <f t="shared" si="95"/>
        <v>#VALUE!</v>
      </c>
      <c r="AO82" s="7" t="e">
        <f t="shared" si="96"/>
        <v>#VALUE!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">
      <c r="P83">
        <f t="shared" si="111"/>
        <v>40</v>
      </c>
      <c r="Q83">
        <f t="shared" si="108"/>
        <v>1600</v>
      </c>
      <c r="R83" s="7">
        <f t="shared" si="76"/>
        <v>-2.57610597594363</v>
      </c>
      <c r="S83" s="7" t="e">
        <f t="shared" si="77"/>
        <v>#VALUE!</v>
      </c>
      <c r="T83" s="7" t="e">
        <f t="shared" si="78"/>
        <v>#VALUE!</v>
      </c>
      <c r="U83" s="7" t="e">
        <f t="shared" si="79"/>
        <v>#VALUE!</v>
      </c>
      <c r="V83" s="7" t="e">
        <f t="shared" si="80"/>
        <v>#VALUE!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6.366197723675814</v>
      </c>
      <c r="AJ83">
        <f t="shared" si="110"/>
        <v>1600</v>
      </c>
      <c r="AK83" s="7">
        <f t="shared" si="92"/>
        <v>0</v>
      </c>
      <c r="AL83" s="7" t="e">
        <f t="shared" si="93"/>
        <v>#VALUE!</v>
      </c>
      <c r="AM83" s="7" t="e">
        <f t="shared" si="94"/>
        <v>#VALUE!</v>
      </c>
      <c r="AN83" s="7" t="e">
        <f t="shared" si="95"/>
        <v>#VALUE!</v>
      </c>
      <c r="AO83" s="7" t="e">
        <f t="shared" si="96"/>
        <v>#VALUE!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">
      <c r="P84">
        <f t="shared" si="111"/>
        <v>40.5</v>
      </c>
      <c r="Q84">
        <f t="shared" si="108"/>
        <v>1620</v>
      </c>
      <c r="R84" s="7">
        <f t="shared" si="76"/>
        <v>-2.57610597594363</v>
      </c>
      <c r="S84" s="7" t="e">
        <f t="shared" si="77"/>
        <v>#VALUE!</v>
      </c>
      <c r="T84" s="7" t="e">
        <f t="shared" si="78"/>
        <v>#VALUE!</v>
      </c>
      <c r="U84" s="7" t="e">
        <f t="shared" si="79"/>
        <v>#VALUE!</v>
      </c>
      <c r="V84" s="7" t="e">
        <f t="shared" si="80"/>
        <v>#VALUE!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6.366197723675814</v>
      </c>
      <c r="AJ84">
        <f t="shared" si="110"/>
        <v>1620</v>
      </c>
      <c r="AK84" s="7">
        <f t="shared" si="92"/>
        <v>0</v>
      </c>
      <c r="AL84" s="7" t="e">
        <f t="shared" si="93"/>
        <v>#VALUE!</v>
      </c>
      <c r="AM84" s="7" t="e">
        <f t="shared" si="94"/>
        <v>#VALUE!</v>
      </c>
      <c r="AN84" s="7" t="e">
        <f t="shared" si="95"/>
        <v>#VALUE!</v>
      </c>
      <c r="AO84" s="7" t="e">
        <f t="shared" si="96"/>
        <v>#VALUE!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">
      <c r="P85">
        <f t="shared" si="111"/>
        <v>41</v>
      </c>
      <c r="Q85">
        <f t="shared" si="108"/>
        <v>1640</v>
      </c>
      <c r="R85" s="7">
        <f t="shared" si="76"/>
        <v>-2.57610597594363</v>
      </c>
      <c r="S85" s="7" t="e">
        <f t="shared" si="77"/>
        <v>#VALUE!</v>
      </c>
      <c r="T85" s="7" t="e">
        <f t="shared" si="78"/>
        <v>#VALUE!</v>
      </c>
      <c r="U85" s="7" t="e">
        <f t="shared" si="79"/>
        <v>#VALUE!</v>
      </c>
      <c r="V85" s="7" t="e">
        <f t="shared" si="80"/>
        <v>#VALUE!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6.366197723675814</v>
      </c>
      <c r="AJ85">
        <f t="shared" si="110"/>
        <v>1640</v>
      </c>
      <c r="AK85" s="7">
        <f t="shared" si="92"/>
        <v>0</v>
      </c>
      <c r="AL85" s="7" t="e">
        <f t="shared" si="93"/>
        <v>#VALUE!</v>
      </c>
      <c r="AM85" s="7" t="e">
        <f t="shared" si="94"/>
        <v>#VALUE!</v>
      </c>
      <c r="AN85" s="7" t="e">
        <f t="shared" si="95"/>
        <v>#VALUE!</v>
      </c>
      <c r="AO85" s="7" t="e">
        <f t="shared" si="96"/>
        <v>#VALUE!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">
      <c r="P86">
        <f t="shared" si="111"/>
        <v>41.5</v>
      </c>
      <c r="Q86">
        <f t="shared" si="108"/>
        <v>1660</v>
      </c>
      <c r="R86" s="7">
        <f t="shared" si="76"/>
        <v>-2.57610597594363</v>
      </c>
      <c r="S86" s="7" t="e">
        <f t="shared" si="77"/>
        <v>#VALUE!</v>
      </c>
      <c r="T86" s="7" t="e">
        <f t="shared" si="78"/>
        <v>#VALUE!</v>
      </c>
      <c r="U86" s="7" t="e">
        <f t="shared" si="79"/>
        <v>#VALUE!</v>
      </c>
      <c r="V86" s="7" t="e">
        <f t="shared" si="80"/>
        <v>#VALUE!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6.366197723675814</v>
      </c>
      <c r="AJ86">
        <f t="shared" si="110"/>
        <v>1660</v>
      </c>
      <c r="AK86" s="7">
        <f t="shared" si="92"/>
        <v>0</v>
      </c>
      <c r="AL86" s="7" t="e">
        <f t="shared" si="93"/>
        <v>#VALUE!</v>
      </c>
      <c r="AM86" s="7" t="e">
        <f t="shared" si="94"/>
        <v>#VALUE!</v>
      </c>
      <c r="AN86" s="7" t="e">
        <f t="shared" si="95"/>
        <v>#VALUE!</v>
      </c>
      <c r="AO86" s="7" t="e">
        <f t="shared" si="96"/>
        <v>#VALUE!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">
      <c r="P87">
        <f t="shared" si="111"/>
        <v>42</v>
      </c>
      <c r="Q87">
        <f t="shared" si="108"/>
        <v>1680</v>
      </c>
      <c r="R87" s="7">
        <f t="shared" si="76"/>
        <v>-2.57610597594363</v>
      </c>
      <c r="S87" s="7" t="e">
        <f t="shared" si="77"/>
        <v>#VALUE!</v>
      </c>
      <c r="T87" s="7" t="e">
        <f t="shared" si="78"/>
        <v>#VALUE!</v>
      </c>
      <c r="U87" s="7" t="e">
        <f t="shared" si="79"/>
        <v>#VALUE!</v>
      </c>
      <c r="V87" s="7" t="e">
        <f t="shared" si="80"/>
        <v>#VALUE!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6.366197723675814</v>
      </c>
      <c r="AJ87">
        <f t="shared" si="110"/>
        <v>1680</v>
      </c>
      <c r="AK87" s="7">
        <f t="shared" si="92"/>
        <v>0</v>
      </c>
      <c r="AL87" s="7" t="e">
        <f t="shared" si="93"/>
        <v>#VALUE!</v>
      </c>
      <c r="AM87" s="7" t="e">
        <f t="shared" si="94"/>
        <v>#VALUE!</v>
      </c>
      <c r="AN87" s="7" t="e">
        <f t="shared" si="95"/>
        <v>#VALUE!</v>
      </c>
      <c r="AO87" s="7" t="e">
        <f t="shared" si="96"/>
        <v>#VALUE!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">
      <c r="P88">
        <f t="shared" si="111"/>
        <v>42.5</v>
      </c>
      <c r="Q88">
        <f t="shared" si="108"/>
        <v>1700</v>
      </c>
      <c r="R88" s="7">
        <f t="shared" si="76"/>
        <v>-2.57610597594363</v>
      </c>
      <c r="S88" s="7" t="e">
        <f t="shared" si="77"/>
        <v>#VALUE!</v>
      </c>
      <c r="T88" s="7" t="e">
        <f t="shared" si="78"/>
        <v>#VALUE!</v>
      </c>
      <c r="U88" s="7" t="e">
        <f t="shared" si="79"/>
        <v>#VALUE!</v>
      </c>
      <c r="V88" s="7" t="e">
        <f t="shared" si="80"/>
        <v>#VALUE!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6.366197723675814</v>
      </c>
      <c r="AJ88">
        <f t="shared" si="110"/>
        <v>1700</v>
      </c>
      <c r="AK88" s="7">
        <f t="shared" si="92"/>
        <v>0</v>
      </c>
      <c r="AL88" s="7" t="e">
        <f t="shared" si="93"/>
        <v>#VALUE!</v>
      </c>
      <c r="AM88" s="7" t="e">
        <f t="shared" si="94"/>
        <v>#VALUE!</v>
      </c>
      <c r="AN88" s="7" t="e">
        <f t="shared" si="95"/>
        <v>#VALUE!</v>
      </c>
      <c r="AO88" s="7" t="e">
        <f t="shared" si="96"/>
        <v>#VALUE!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">
      <c r="P89">
        <f t="shared" si="111"/>
        <v>43</v>
      </c>
      <c r="Q89">
        <f t="shared" si="108"/>
        <v>1720</v>
      </c>
      <c r="R89" s="7">
        <f t="shared" si="76"/>
        <v>-2.57610597594363</v>
      </c>
      <c r="S89" s="7" t="e">
        <f t="shared" si="77"/>
        <v>#VALUE!</v>
      </c>
      <c r="T89" s="7" t="e">
        <f t="shared" si="78"/>
        <v>#VALUE!</v>
      </c>
      <c r="U89" s="7" t="e">
        <f t="shared" si="79"/>
        <v>#VALUE!</v>
      </c>
      <c r="V89" s="7" t="e">
        <f t="shared" si="80"/>
        <v>#VALUE!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6.366197723675814</v>
      </c>
      <c r="AJ89">
        <f t="shared" si="110"/>
        <v>1720</v>
      </c>
      <c r="AK89" s="7">
        <f t="shared" si="92"/>
        <v>0</v>
      </c>
      <c r="AL89" s="7" t="e">
        <f t="shared" si="93"/>
        <v>#VALUE!</v>
      </c>
      <c r="AM89" s="7" t="e">
        <f t="shared" si="94"/>
        <v>#VALUE!</v>
      </c>
      <c r="AN89" s="7" t="e">
        <f t="shared" si="95"/>
        <v>#VALUE!</v>
      </c>
      <c r="AO89" s="7" t="e">
        <f t="shared" si="96"/>
        <v>#VALUE!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">
      <c r="P90">
        <f t="shared" si="111"/>
        <v>43.5</v>
      </c>
      <c r="Q90">
        <f t="shared" si="108"/>
        <v>1740</v>
      </c>
      <c r="R90" s="7">
        <f t="shared" si="76"/>
        <v>-2.57610597594363</v>
      </c>
      <c r="S90" s="7" t="e">
        <f t="shared" si="77"/>
        <v>#VALUE!</v>
      </c>
      <c r="T90" s="7" t="e">
        <f t="shared" si="78"/>
        <v>#VALUE!</v>
      </c>
      <c r="U90" s="7" t="e">
        <f t="shared" si="79"/>
        <v>#VALUE!</v>
      </c>
      <c r="V90" s="7" t="e">
        <f t="shared" si="80"/>
        <v>#VALUE!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6.366197723675814</v>
      </c>
      <c r="AJ90">
        <f t="shared" si="110"/>
        <v>1740</v>
      </c>
      <c r="AK90" s="7">
        <f t="shared" si="92"/>
        <v>0</v>
      </c>
      <c r="AL90" s="7" t="e">
        <f t="shared" si="93"/>
        <v>#VALUE!</v>
      </c>
      <c r="AM90" s="7" t="e">
        <f t="shared" si="94"/>
        <v>#VALUE!</v>
      </c>
      <c r="AN90" s="7" t="e">
        <f t="shared" si="95"/>
        <v>#VALUE!</v>
      </c>
      <c r="AO90" s="7" t="e">
        <f t="shared" si="96"/>
        <v>#VALUE!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">
      <c r="P91">
        <f t="shared" si="111"/>
        <v>44</v>
      </c>
      <c r="Q91">
        <f t="shared" si="108"/>
        <v>1760</v>
      </c>
      <c r="R91" s="7">
        <f t="shared" si="76"/>
        <v>-2.57610597594363</v>
      </c>
      <c r="S91" s="7" t="e">
        <f t="shared" si="77"/>
        <v>#VALUE!</v>
      </c>
      <c r="T91" s="7" t="e">
        <f t="shared" si="78"/>
        <v>#VALUE!</v>
      </c>
      <c r="U91" s="7" t="e">
        <f t="shared" si="79"/>
        <v>#VALUE!</v>
      </c>
      <c r="V91" s="7" t="e">
        <f t="shared" si="80"/>
        <v>#VALUE!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6.366197723675814</v>
      </c>
      <c r="AJ91">
        <f t="shared" si="110"/>
        <v>1760</v>
      </c>
      <c r="AK91" s="7">
        <f t="shared" si="92"/>
        <v>0</v>
      </c>
      <c r="AL91" s="7" t="e">
        <f t="shared" si="93"/>
        <v>#VALUE!</v>
      </c>
      <c r="AM91" s="7" t="e">
        <f t="shared" si="94"/>
        <v>#VALUE!</v>
      </c>
      <c r="AN91" s="7" t="e">
        <f t="shared" si="95"/>
        <v>#VALUE!</v>
      </c>
      <c r="AO91" s="7" t="e">
        <f t="shared" si="96"/>
        <v>#VALUE!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">
      <c r="P92">
        <f t="shared" si="111"/>
        <v>44.5</v>
      </c>
      <c r="Q92">
        <f t="shared" si="108"/>
        <v>1780</v>
      </c>
      <c r="R92" s="7">
        <f t="shared" si="76"/>
        <v>-2.57610597594363</v>
      </c>
      <c r="S92" s="7" t="e">
        <f t="shared" si="77"/>
        <v>#VALUE!</v>
      </c>
      <c r="T92" s="7" t="e">
        <f t="shared" si="78"/>
        <v>#VALUE!</v>
      </c>
      <c r="U92" s="7" t="e">
        <f t="shared" si="79"/>
        <v>#VALUE!</v>
      </c>
      <c r="V92" s="7" t="e">
        <f t="shared" si="80"/>
        <v>#VALUE!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6.366197723675814</v>
      </c>
      <c r="AJ92">
        <f t="shared" si="110"/>
        <v>1780</v>
      </c>
      <c r="AK92" s="7">
        <f t="shared" si="92"/>
        <v>0</v>
      </c>
      <c r="AL92" s="7" t="e">
        <f t="shared" si="93"/>
        <v>#VALUE!</v>
      </c>
      <c r="AM92" s="7" t="e">
        <f t="shared" si="94"/>
        <v>#VALUE!</v>
      </c>
      <c r="AN92" s="7" t="e">
        <f t="shared" si="95"/>
        <v>#VALUE!</v>
      </c>
      <c r="AO92" s="7" t="e">
        <f t="shared" si="96"/>
        <v>#VALUE!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">
      <c r="P93">
        <f t="shared" si="111"/>
        <v>45</v>
      </c>
      <c r="Q93">
        <f t="shared" si="108"/>
        <v>1800</v>
      </c>
      <c r="R93" s="7">
        <f t="shared" si="76"/>
        <v>-2.57610597594363</v>
      </c>
      <c r="S93" s="7" t="e">
        <f t="shared" si="77"/>
        <v>#VALUE!</v>
      </c>
      <c r="T93" s="7" t="e">
        <f t="shared" si="78"/>
        <v>#VALUE!</v>
      </c>
      <c r="U93" s="7" t="e">
        <f t="shared" si="79"/>
        <v>#VALUE!</v>
      </c>
      <c r="V93" s="7" t="e">
        <f t="shared" si="80"/>
        <v>#VALUE!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6.366197723675814</v>
      </c>
      <c r="AJ93">
        <f t="shared" si="110"/>
        <v>1800</v>
      </c>
      <c r="AK93" s="7">
        <f t="shared" si="92"/>
        <v>0</v>
      </c>
      <c r="AL93" s="7" t="e">
        <f t="shared" si="93"/>
        <v>#VALUE!</v>
      </c>
      <c r="AM93" s="7" t="e">
        <f t="shared" si="94"/>
        <v>#VALUE!</v>
      </c>
      <c r="AN93" s="7" t="e">
        <f t="shared" si="95"/>
        <v>#VALUE!</v>
      </c>
      <c r="AO93" s="7" t="e">
        <f t="shared" si="96"/>
        <v>#VALUE!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">
      <c r="P94">
        <f t="shared" si="111"/>
        <v>45.5</v>
      </c>
      <c r="Q94">
        <f t="shared" si="108"/>
        <v>1820</v>
      </c>
      <c r="R94" s="7">
        <f t="shared" si="76"/>
        <v>-2.57610597594363</v>
      </c>
      <c r="S94" s="7" t="e">
        <f t="shared" si="77"/>
        <v>#VALUE!</v>
      </c>
      <c r="T94" s="7" t="e">
        <f t="shared" si="78"/>
        <v>#VALUE!</v>
      </c>
      <c r="U94" s="7" t="e">
        <f t="shared" si="79"/>
        <v>#VALUE!</v>
      </c>
      <c r="V94" s="7" t="e">
        <f t="shared" si="80"/>
        <v>#VALUE!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6.366197723675814</v>
      </c>
      <c r="AJ94">
        <f t="shared" si="110"/>
        <v>1820</v>
      </c>
      <c r="AK94" s="7">
        <f t="shared" si="92"/>
        <v>0</v>
      </c>
      <c r="AL94" s="7" t="e">
        <f t="shared" si="93"/>
        <v>#VALUE!</v>
      </c>
      <c r="AM94" s="7" t="e">
        <f t="shared" si="94"/>
        <v>#VALUE!</v>
      </c>
      <c r="AN94" s="7" t="e">
        <f t="shared" si="95"/>
        <v>#VALUE!</v>
      </c>
      <c r="AO94" s="7" t="e">
        <f t="shared" si="96"/>
        <v>#VALUE!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">
      <c r="P95">
        <f t="shared" si="111"/>
        <v>46</v>
      </c>
      <c r="Q95">
        <f t="shared" si="108"/>
        <v>1840</v>
      </c>
      <c r="R95" s="7">
        <f t="shared" si="76"/>
        <v>-2.57610597594363</v>
      </c>
      <c r="S95" s="7" t="e">
        <f t="shared" si="77"/>
        <v>#VALUE!</v>
      </c>
      <c r="T95" s="7" t="e">
        <f t="shared" si="78"/>
        <v>#VALUE!</v>
      </c>
      <c r="U95" s="7" t="e">
        <f t="shared" si="79"/>
        <v>#VALUE!</v>
      </c>
      <c r="V95" s="7" t="e">
        <f t="shared" si="80"/>
        <v>#VALUE!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6.366197723675814</v>
      </c>
      <c r="AJ95">
        <f t="shared" si="110"/>
        <v>1840</v>
      </c>
      <c r="AK95" s="7">
        <f t="shared" si="92"/>
        <v>0</v>
      </c>
      <c r="AL95" s="7" t="e">
        <f t="shared" si="93"/>
        <v>#VALUE!</v>
      </c>
      <c r="AM95" s="7" t="e">
        <f t="shared" si="94"/>
        <v>#VALUE!</v>
      </c>
      <c r="AN95" s="7" t="e">
        <f t="shared" si="95"/>
        <v>#VALUE!</v>
      </c>
      <c r="AO95" s="7" t="e">
        <f t="shared" si="96"/>
        <v>#VALUE!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">
      <c r="P96">
        <f t="shared" si="111"/>
        <v>46.5</v>
      </c>
      <c r="Q96">
        <f t="shared" si="108"/>
        <v>1860</v>
      </c>
      <c r="R96" s="7">
        <f t="shared" si="76"/>
        <v>-2.57610597594363</v>
      </c>
      <c r="S96" s="7" t="e">
        <f t="shared" si="77"/>
        <v>#VALUE!</v>
      </c>
      <c r="T96" s="7" t="e">
        <f t="shared" si="78"/>
        <v>#VALUE!</v>
      </c>
      <c r="U96" s="7" t="e">
        <f t="shared" si="79"/>
        <v>#VALUE!</v>
      </c>
      <c r="V96" s="7" t="e">
        <f t="shared" si="80"/>
        <v>#VALUE!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6.366197723675814</v>
      </c>
      <c r="AJ96">
        <f t="shared" si="110"/>
        <v>1860</v>
      </c>
      <c r="AK96" s="7">
        <f t="shared" si="92"/>
        <v>0</v>
      </c>
      <c r="AL96" s="7" t="e">
        <f t="shared" si="93"/>
        <v>#VALUE!</v>
      </c>
      <c r="AM96" s="7" t="e">
        <f t="shared" si="94"/>
        <v>#VALUE!</v>
      </c>
      <c r="AN96" s="7" t="e">
        <f t="shared" si="95"/>
        <v>#VALUE!</v>
      </c>
      <c r="AO96" s="7" t="e">
        <f t="shared" si="96"/>
        <v>#VALUE!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">
      <c r="P97">
        <f t="shared" si="111"/>
        <v>47</v>
      </c>
      <c r="Q97">
        <f t="shared" si="108"/>
        <v>1880</v>
      </c>
      <c r="R97" s="7">
        <f t="shared" si="76"/>
        <v>-2.57610597594363</v>
      </c>
      <c r="S97" s="7" t="e">
        <f t="shared" si="77"/>
        <v>#VALUE!</v>
      </c>
      <c r="T97" s="7" t="e">
        <f t="shared" si="78"/>
        <v>#VALUE!</v>
      </c>
      <c r="U97" s="7" t="e">
        <f t="shared" si="79"/>
        <v>#VALUE!</v>
      </c>
      <c r="V97" s="7" t="e">
        <f t="shared" si="80"/>
        <v>#VALUE!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6.366197723675814</v>
      </c>
      <c r="AJ97">
        <f t="shared" si="110"/>
        <v>1880</v>
      </c>
      <c r="AK97" s="7">
        <f t="shared" si="92"/>
        <v>0</v>
      </c>
      <c r="AL97" s="7" t="e">
        <f t="shared" si="93"/>
        <v>#VALUE!</v>
      </c>
      <c r="AM97" s="7" t="e">
        <f t="shared" si="94"/>
        <v>#VALUE!</v>
      </c>
      <c r="AN97" s="7" t="e">
        <f t="shared" si="95"/>
        <v>#VALUE!</v>
      </c>
      <c r="AO97" s="7" t="e">
        <f t="shared" si="96"/>
        <v>#VALUE!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">
      <c r="P98">
        <f t="shared" si="111"/>
        <v>47.5</v>
      </c>
      <c r="Q98">
        <f t="shared" si="108"/>
        <v>1900</v>
      </c>
      <c r="R98" s="7">
        <f t="shared" si="76"/>
        <v>-2.57610597594363</v>
      </c>
      <c r="S98" s="7" t="e">
        <f t="shared" si="77"/>
        <v>#VALUE!</v>
      </c>
      <c r="T98" s="7" t="e">
        <f t="shared" si="78"/>
        <v>#VALUE!</v>
      </c>
      <c r="U98" s="7" t="e">
        <f t="shared" si="79"/>
        <v>#VALUE!</v>
      </c>
      <c r="V98" s="7" t="e">
        <f t="shared" si="80"/>
        <v>#VALUE!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6.366197723675814</v>
      </c>
      <c r="AJ98">
        <f t="shared" si="110"/>
        <v>1900</v>
      </c>
      <c r="AK98" s="7">
        <f t="shared" si="92"/>
        <v>0</v>
      </c>
      <c r="AL98" s="7" t="e">
        <f t="shared" si="93"/>
        <v>#VALUE!</v>
      </c>
      <c r="AM98" s="7" t="e">
        <f t="shared" si="94"/>
        <v>#VALUE!</v>
      </c>
      <c r="AN98" s="7" t="e">
        <f t="shared" si="95"/>
        <v>#VALUE!</v>
      </c>
      <c r="AO98" s="7" t="e">
        <f t="shared" si="96"/>
        <v>#VALUE!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">
      <c r="P99">
        <f t="shared" si="111"/>
        <v>48</v>
      </c>
      <c r="Q99">
        <f t="shared" si="108"/>
        <v>1920</v>
      </c>
      <c r="R99" s="7">
        <f t="shared" si="76"/>
        <v>-2.57610597594363</v>
      </c>
      <c r="S99" s="7" t="e">
        <f t="shared" si="77"/>
        <v>#VALUE!</v>
      </c>
      <c r="T99" s="7" t="e">
        <f t="shared" si="78"/>
        <v>#VALUE!</v>
      </c>
      <c r="U99" s="7" t="e">
        <f t="shared" si="79"/>
        <v>#VALUE!</v>
      </c>
      <c r="V99" s="7" t="e">
        <f t="shared" si="80"/>
        <v>#VALUE!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6.366197723675814</v>
      </c>
      <c r="AJ99">
        <f t="shared" si="110"/>
        <v>1920</v>
      </c>
      <c r="AK99" s="7">
        <f t="shared" si="92"/>
        <v>0</v>
      </c>
      <c r="AL99" s="7" t="e">
        <f t="shared" si="93"/>
        <v>#VALUE!</v>
      </c>
      <c r="AM99" s="7" t="e">
        <f t="shared" si="94"/>
        <v>#VALUE!</v>
      </c>
      <c r="AN99" s="7" t="e">
        <f t="shared" si="95"/>
        <v>#VALUE!</v>
      </c>
      <c r="AO99" s="7" t="e">
        <f t="shared" si="96"/>
        <v>#VALUE!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">
      <c r="P100">
        <f t="shared" si="111"/>
        <v>48.5</v>
      </c>
      <c r="Q100">
        <f t="shared" si="108"/>
        <v>1940</v>
      </c>
      <c r="R100" s="7">
        <f t="shared" si="76"/>
        <v>-2.57610597594363</v>
      </c>
      <c r="S100" s="7" t="e">
        <f t="shared" si="77"/>
        <v>#VALUE!</v>
      </c>
      <c r="T100" s="7" t="e">
        <f t="shared" si="78"/>
        <v>#VALUE!</v>
      </c>
      <c r="U100" s="7" t="e">
        <f t="shared" si="79"/>
        <v>#VALUE!</v>
      </c>
      <c r="V100" s="7" t="e">
        <f t="shared" si="80"/>
        <v>#VALUE!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6.366197723675814</v>
      </c>
      <c r="AJ100">
        <f t="shared" si="110"/>
        <v>1940</v>
      </c>
      <c r="AK100" s="7">
        <f t="shared" si="92"/>
        <v>0</v>
      </c>
      <c r="AL100" s="7" t="e">
        <f t="shared" si="93"/>
        <v>#VALUE!</v>
      </c>
      <c r="AM100" s="7" t="e">
        <f t="shared" si="94"/>
        <v>#VALUE!</v>
      </c>
      <c r="AN100" s="7" t="e">
        <f t="shared" si="95"/>
        <v>#VALUE!</v>
      </c>
      <c r="AO100" s="7" t="e">
        <f t="shared" si="96"/>
        <v>#VALUE!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">
      <c r="P101">
        <f t="shared" si="111"/>
        <v>49</v>
      </c>
      <c r="Q101">
        <f t="shared" si="108"/>
        <v>1960</v>
      </c>
      <c r="R101" s="7">
        <f t="shared" si="76"/>
        <v>-2.57610597594363</v>
      </c>
      <c r="S101" s="7" t="e">
        <f t="shared" si="77"/>
        <v>#VALUE!</v>
      </c>
      <c r="T101" s="7" t="e">
        <f t="shared" si="78"/>
        <v>#VALUE!</v>
      </c>
      <c r="U101" s="7" t="e">
        <f t="shared" si="79"/>
        <v>#VALUE!</v>
      </c>
      <c r="V101" s="7" t="e">
        <f t="shared" si="80"/>
        <v>#VALUE!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6.366197723675814</v>
      </c>
      <c r="AJ101">
        <f t="shared" si="110"/>
        <v>1960</v>
      </c>
      <c r="AK101" s="7">
        <f t="shared" si="92"/>
        <v>0</v>
      </c>
      <c r="AL101" s="7" t="e">
        <f t="shared" si="93"/>
        <v>#VALUE!</v>
      </c>
      <c r="AM101" s="7" t="e">
        <f t="shared" si="94"/>
        <v>#VALUE!</v>
      </c>
      <c r="AN101" s="7" t="e">
        <f t="shared" si="95"/>
        <v>#VALUE!</v>
      </c>
      <c r="AO101" s="7" t="e">
        <f t="shared" si="96"/>
        <v>#VALUE!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">
      <c r="P102">
        <f t="shared" si="111"/>
        <v>49.5</v>
      </c>
      <c r="Q102">
        <f t="shared" si="108"/>
        <v>1980</v>
      </c>
      <c r="R102" s="7">
        <f t="shared" si="76"/>
        <v>-2.57610597594363</v>
      </c>
      <c r="S102" s="7" t="e">
        <f t="shared" si="77"/>
        <v>#VALUE!</v>
      </c>
      <c r="T102" s="7" t="e">
        <f t="shared" si="78"/>
        <v>#VALUE!</v>
      </c>
      <c r="U102" s="7" t="e">
        <f t="shared" si="79"/>
        <v>#VALUE!</v>
      </c>
      <c r="V102" s="7" t="e">
        <f t="shared" si="80"/>
        <v>#VALUE!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6.366197723675814</v>
      </c>
      <c r="AJ102">
        <f t="shared" si="110"/>
        <v>1980</v>
      </c>
      <c r="AK102" s="7">
        <f t="shared" si="92"/>
        <v>0</v>
      </c>
      <c r="AL102" s="7" t="e">
        <f t="shared" si="93"/>
        <v>#VALUE!</v>
      </c>
      <c r="AM102" s="7" t="e">
        <f t="shared" si="94"/>
        <v>#VALUE!</v>
      </c>
      <c r="AN102" s="7" t="e">
        <f t="shared" si="95"/>
        <v>#VALUE!</v>
      </c>
      <c r="AO102" s="7" t="e">
        <f t="shared" si="96"/>
        <v>#VALUE!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3"/>
  <sheetViews>
    <sheetView tabSelected="1" workbookViewId="0">
      <selection activeCell="F52" sqref="F52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6" style="4" bestFit="1" customWidth="1"/>
    <col min="5" max="11" width="8.6640625" style="4" customWidth="1"/>
    <col min="12" max="12" width="11.5" style="4" bestFit="1" customWidth="1"/>
    <col min="13" max="13" width="6.83203125" bestFit="1" customWidth="1"/>
    <col min="14" max="14" width="7" bestFit="1" customWidth="1"/>
    <col min="16" max="16" width="10.83203125" style="2"/>
  </cols>
  <sheetData>
    <row r="2" spans="1:15" ht="48" x14ac:dyDescent="0.2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103</v>
      </c>
      <c r="M2" s="6"/>
      <c r="N2" s="6"/>
    </row>
    <row r="3" spans="1:15" x14ac:dyDescent="0.2">
      <c r="A3" t="str">
        <f>CONCATENATE(B3,"-",C3)</f>
        <v>FYSETC-35HSH7402-24B-400A</v>
      </c>
      <c r="B3" s="4" t="s">
        <v>115</v>
      </c>
      <c r="C3" s="4" t="s">
        <v>117</v>
      </c>
      <c r="D3" s="4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122</v>
      </c>
      <c r="M3" t="s">
        <v>118</v>
      </c>
    </row>
    <row r="4" spans="1:15" x14ac:dyDescent="0.2">
      <c r="A4" t="str">
        <f>CONCATENATE(B4,"-",C4)</f>
        <v>FYSETC-42HSC1404B-200N8</v>
      </c>
      <c r="B4" s="4" t="s">
        <v>115</v>
      </c>
      <c r="C4" s="4" t="s">
        <v>116</v>
      </c>
      <c r="D4" s="4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121</v>
      </c>
      <c r="M4" t="s">
        <v>114</v>
      </c>
    </row>
    <row r="5" spans="1:15" x14ac:dyDescent="0.2">
      <c r="A5" t="str">
        <f>CONCATENATE(B5,"-",C5)</f>
        <v>FYSETC-G36HSY4407-6D-550</v>
      </c>
      <c r="B5" s="4" t="s">
        <v>115</v>
      </c>
      <c r="C5" s="4" t="s">
        <v>119</v>
      </c>
      <c r="D5" s="4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123</v>
      </c>
      <c r="M5" t="s">
        <v>120</v>
      </c>
      <c r="N5">
        <v>0.7</v>
      </c>
      <c r="O5">
        <f>N5^2*J5</f>
        <v>6.3699999999999992</v>
      </c>
    </row>
    <row r="6" spans="1:15" x14ac:dyDescent="0.2">
      <c r="A6" t="str">
        <f>CONCATENATE(B6,"-",C6)</f>
        <v>FYSETC-MSM-30010-R0005</v>
      </c>
      <c r="B6" s="4" t="s">
        <v>115</v>
      </c>
      <c r="C6" s="4" t="s">
        <v>127</v>
      </c>
      <c r="D6" s="4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129</v>
      </c>
      <c r="M6" t="s">
        <v>128</v>
      </c>
    </row>
    <row r="7" spans="1:15" x14ac:dyDescent="0.2">
      <c r="A7" t="str">
        <f>CONCATENATE(B7,"-",C7)</f>
        <v>FYSETC-TB-3544</v>
      </c>
      <c r="B7" s="4" t="s">
        <v>115</v>
      </c>
      <c r="C7" s="4" t="s">
        <v>125</v>
      </c>
      <c r="D7" s="4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126</v>
      </c>
      <c r="M7" t="s">
        <v>124</v>
      </c>
    </row>
    <row r="8" spans="1:15" x14ac:dyDescent="0.2">
      <c r="A8" t="str">
        <f>CONCATENATE(B8,"-",C8)</f>
        <v>LDO-35STH48-1504AH(VRN)</v>
      </c>
      <c r="B8" s="4" t="s">
        <v>15</v>
      </c>
      <c r="C8" s="4" t="s">
        <v>153</v>
      </c>
      <c r="D8" s="4">
        <v>14</v>
      </c>
      <c r="E8" s="4">
        <v>52</v>
      </c>
      <c r="F8" s="4">
        <v>1.8</v>
      </c>
      <c r="G8" s="4">
        <v>1.5</v>
      </c>
      <c r="H8" s="4">
        <v>37</v>
      </c>
      <c r="I8" s="4">
        <v>3.8</v>
      </c>
      <c r="J8" s="4">
        <v>2.8</v>
      </c>
      <c r="K8" s="4">
        <v>51.8</v>
      </c>
      <c r="L8" s="4" t="s">
        <v>154</v>
      </c>
    </row>
    <row r="9" spans="1:15" x14ac:dyDescent="0.2">
      <c r="A9" t="str">
        <f>CONCATENATE(B9,"-",C9)</f>
        <v>LDO-35STH48-1684AHVRN</v>
      </c>
      <c r="B9" s="4" t="s">
        <v>15</v>
      </c>
      <c r="C9" s="4" t="s">
        <v>100</v>
      </c>
      <c r="D9" s="4">
        <v>14</v>
      </c>
      <c r="E9" s="4">
        <v>48</v>
      </c>
      <c r="F9" s="4">
        <v>1.8</v>
      </c>
      <c r="G9" s="4">
        <v>1.68</v>
      </c>
      <c r="H9" s="4">
        <v>40</v>
      </c>
      <c r="I9" s="4">
        <v>2.8</v>
      </c>
      <c r="J9" s="4">
        <v>1.65</v>
      </c>
      <c r="K9" s="4">
        <v>49</v>
      </c>
      <c r="L9" s="4" t="s">
        <v>122</v>
      </c>
    </row>
    <row r="10" spans="1:15" x14ac:dyDescent="0.2">
      <c r="A10" t="str">
        <f>CONCATENATE(B10,"-",C10)</f>
        <v>LDO-36STH20-1004AHG(XH)</v>
      </c>
      <c r="B10" s="4" t="s">
        <v>15</v>
      </c>
      <c r="C10" s="4" t="s">
        <v>162</v>
      </c>
      <c r="D10" s="4">
        <v>14</v>
      </c>
      <c r="E10" s="4">
        <v>20</v>
      </c>
      <c r="F10" s="4">
        <v>1.8</v>
      </c>
      <c r="G10" s="4">
        <v>1</v>
      </c>
      <c r="H10" s="4">
        <v>10</v>
      </c>
      <c r="I10" s="4">
        <v>1.6</v>
      </c>
      <c r="J10" s="4">
        <v>2.1</v>
      </c>
      <c r="K10" s="4">
        <v>16</v>
      </c>
    </row>
    <row r="11" spans="1:15" x14ac:dyDescent="0.2">
      <c r="A11" t="str">
        <f>CONCATENATE(B11,"-",C11)</f>
        <v>LDO-42STH20-1004ASH</v>
      </c>
      <c r="B11" s="4" t="s">
        <v>15</v>
      </c>
      <c r="C11" s="4" t="s">
        <v>104</v>
      </c>
      <c r="D11" s="4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105</v>
      </c>
    </row>
    <row r="12" spans="1:15" x14ac:dyDescent="0.2">
      <c r="A12" t="str">
        <f>CONCATENATE(B12,"-",C12)</f>
        <v>LDO-42STH38-1684MAC</v>
      </c>
      <c r="B12" s="12" t="s">
        <v>15</v>
      </c>
      <c r="C12" s="12" t="s">
        <v>25</v>
      </c>
      <c r="D12" s="10">
        <v>17</v>
      </c>
      <c r="E12" s="12">
        <v>40</v>
      </c>
      <c r="F12" s="12">
        <v>0.9</v>
      </c>
      <c r="G12" s="12">
        <v>1.68</v>
      </c>
      <c r="H12" s="12">
        <v>32</v>
      </c>
      <c r="I12" s="12">
        <v>3.2</v>
      </c>
      <c r="J12" s="12">
        <v>1.65</v>
      </c>
      <c r="K12" s="12">
        <v>54</v>
      </c>
      <c r="L12" s="12"/>
      <c r="M12" s="11" t="s">
        <v>86</v>
      </c>
    </row>
    <row r="13" spans="1:15" x14ac:dyDescent="0.2">
      <c r="A13" t="str">
        <f>CONCATENATE(B13,"-",C13)</f>
        <v>LDO-42STH40-1004MAH</v>
      </c>
      <c r="B13" s="4" t="s">
        <v>15</v>
      </c>
      <c r="C13" s="4" t="s">
        <v>106</v>
      </c>
      <c r="D13" s="4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4">
        <v>71</v>
      </c>
      <c r="M13" s="11" t="s">
        <v>107</v>
      </c>
    </row>
    <row r="14" spans="1:15" x14ac:dyDescent="0.2">
      <c r="A14" t="str">
        <f>CONCATENATE(B14,"-",C14)</f>
        <v>LDO-42STH40-1684AC</v>
      </c>
      <c r="B14" s="4" t="s">
        <v>15</v>
      </c>
      <c r="C14" s="4" t="s">
        <v>131</v>
      </c>
      <c r="D14" s="4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132</v>
      </c>
    </row>
    <row r="15" spans="1:15" x14ac:dyDescent="0.2">
      <c r="A15" t="str">
        <f>CONCATENATE(B15,"-",C15)</f>
        <v>LDO-42STH40-2004MAH(VRN)</v>
      </c>
      <c r="B15" s="12" t="s">
        <v>15</v>
      </c>
      <c r="C15" s="12" t="s">
        <v>30</v>
      </c>
      <c r="D15" s="10">
        <v>17</v>
      </c>
      <c r="E15" s="12">
        <v>40</v>
      </c>
      <c r="F15" s="12">
        <v>0.9</v>
      </c>
      <c r="G15" s="12">
        <v>2</v>
      </c>
      <c r="H15" s="12">
        <v>35</v>
      </c>
      <c r="I15" s="12">
        <v>2.8</v>
      </c>
      <c r="J15" s="12">
        <v>1.1000000000000001</v>
      </c>
      <c r="K15" s="12">
        <v>71</v>
      </c>
      <c r="L15" s="12"/>
      <c r="M15" s="11" t="s">
        <v>91</v>
      </c>
    </row>
    <row r="16" spans="1:15" x14ac:dyDescent="0.2">
      <c r="A16" t="str">
        <f>CONCATENATE(B16,"-",C16)</f>
        <v>LDO-42STH47-1684AC</v>
      </c>
      <c r="B16" s="12" t="s">
        <v>15</v>
      </c>
      <c r="C16" s="12" t="s">
        <v>22</v>
      </c>
      <c r="D16" s="10">
        <v>17</v>
      </c>
      <c r="E16" s="12">
        <v>48</v>
      </c>
      <c r="F16" s="12">
        <v>1.8</v>
      </c>
      <c r="G16" s="12">
        <v>1.68</v>
      </c>
      <c r="H16" s="12">
        <v>49</v>
      </c>
      <c r="I16" s="12">
        <v>2.8</v>
      </c>
      <c r="J16" s="12">
        <v>1.65</v>
      </c>
      <c r="K16" s="12">
        <v>68</v>
      </c>
      <c r="L16" s="12"/>
      <c r="M16" s="11" t="s">
        <v>83</v>
      </c>
    </row>
    <row r="17" spans="1:13" x14ac:dyDescent="0.2">
      <c r="A17" t="str">
        <f>CONCATENATE(B17,"-",C17)</f>
        <v>LDO-42STH47-2504AC</v>
      </c>
      <c r="B17" s="4" t="s">
        <v>15</v>
      </c>
      <c r="C17" s="4" t="s">
        <v>112</v>
      </c>
      <c r="D17" s="4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">
      <c r="A18" t="str">
        <f>CONCATENATE(B18,"-",C18)</f>
        <v>LDO-42STH48-1684MAH</v>
      </c>
      <c r="B18" s="12" t="s">
        <v>15</v>
      </c>
      <c r="C18" s="12" t="s">
        <v>23</v>
      </c>
      <c r="D18" s="10">
        <v>17</v>
      </c>
      <c r="E18" s="12">
        <v>48</v>
      </c>
      <c r="F18" s="12">
        <v>0.9</v>
      </c>
      <c r="G18" s="12">
        <v>1.68</v>
      </c>
      <c r="H18" s="12">
        <v>39</v>
      </c>
      <c r="I18" s="12">
        <v>2.8</v>
      </c>
      <c r="J18" s="12">
        <v>1.65</v>
      </c>
      <c r="K18" s="12">
        <v>68</v>
      </c>
      <c r="L18" s="12"/>
      <c r="M18" s="11" t="s">
        <v>84</v>
      </c>
    </row>
    <row r="19" spans="1:13" x14ac:dyDescent="0.2">
      <c r="A19" t="str">
        <f>CONCATENATE(B19,"-",C19)</f>
        <v>LDO-42STH48-2004AC (VRN)</v>
      </c>
      <c r="B19" s="12" t="s">
        <v>15</v>
      </c>
      <c r="C19" s="12" t="s">
        <v>27</v>
      </c>
      <c r="D19" s="10">
        <v>17</v>
      </c>
      <c r="E19" s="12">
        <v>48</v>
      </c>
      <c r="F19" s="12">
        <v>1.8</v>
      </c>
      <c r="G19" s="12">
        <v>2</v>
      </c>
      <c r="H19" s="12">
        <v>58</v>
      </c>
      <c r="I19" s="12">
        <v>3</v>
      </c>
      <c r="J19" s="12">
        <v>1.6</v>
      </c>
      <c r="K19" s="12">
        <v>85</v>
      </c>
      <c r="L19" s="12"/>
      <c r="M19" s="11" t="s">
        <v>88</v>
      </c>
    </row>
    <row r="20" spans="1:13" x14ac:dyDescent="0.2">
      <c r="A20" t="str">
        <f>CONCATENATE(B20,"-",C20)</f>
        <v>LDO-42STH48-2004AH</v>
      </c>
      <c r="B20" s="4" t="s">
        <v>15</v>
      </c>
      <c r="C20" s="4" t="s">
        <v>110</v>
      </c>
      <c r="D20" s="4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111</v>
      </c>
    </row>
    <row r="21" spans="1:13" x14ac:dyDescent="0.2">
      <c r="A21" t="str">
        <f>CONCATENATE(B21,"-",C21)</f>
        <v>LDO-42STH48-2504AC</v>
      </c>
      <c r="B21" s="4" t="s">
        <v>15</v>
      </c>
      <c r="C21" s="4" t="s">
        <v>161</v>
      </c>
      <c r="D21" s="4">
        <v>17</v>
      </c>
      <c r="E21" s="4">
        <v>48</v>
      </c>
      <c r="F21" s="4">
        <v>1.8</v>
      </c>
      <c r="G21" s="4">
        <v>2.5</v>
      </c>
      <c r="H21" s="4">
        <v>55</v>
      </c>
      <c r="I21" s="4">
        <v>1.5</v>
      </c>
      <c r="J21" s="4">
        <v>1.2</v>
      </c>
      <c r="K21" s="4">
        <v>84.5</v>
      </c>
    </row>
    <row r="22" spans="1:13" x14ac:dyDescent="0.2">
      <c r="A22" t="str">
        <f>CONCATENATE(B22,"-",C22)</f>
        <v>LDO-42STH48-2504AH</v>
      </c>
      <c r="B22" s="4" t="s">
        <v>15</v>
      </c>
      <c r="C22" s="4" t="s">
        <v>160</v>
      </c>
      <c r="D22" s="4">
        <v>17</v>
      </c>
      <c r="E22" s="4">
        <v>48</v>
      </c>
      <c r="F22" s="4">
        <v>1.8</v>
      </c>
      <c r="G22" s="4">
        <v>2.5</v>
      </c>
      <c r="H22" s="4">
        <v>55</v>
      </c>
      <c r="I22" s="4">
        <v>1.5</v>
      </c>
      <c r="J22" s="4">
        <v>1.2</v>
      </c>
      <c r="K22" s="4">
        <v>84.5</v>
      </c>
    </row>
    <row r="23" spans="1:13" x14ac:dyDescent="0.2">
      <c r="A23" t="str">
        <f>CONCATENATE(B23,"-",C23)</f>
        <v>LDO-42STH60-2004AH</v>
      </c>
      <c r="B23" s="12" t="s">
        <v>15</v>
      </c>
      <c r="C23" s="12" t="s">
        <v>24</v>
      </c>
      <c r="D23" s="10">
        <v>17</v>
      </c>
      <c r="E23" s="12">
        <v>60</v>
      </c>
      <c r="F23" s="12">
        <v>1.8</v>
      </c>
      <c r="G23" s="12">
        <v>2</v>
      </c>
      <c r="H23" s="12">
        <v>83</v>
      </c>
      <c r="I23" s="12">
        <v>3.3</v>
      </c>
      <c r="J23" s="12">
        <v>2</v>
      </c>
      <c r="K23" s="12">
        <v>102</v>
      </c>
      <c r="L23" s="12"/>
      <c r="M23" s="11" t="s">
        <v>85</v>
      </c>
    </row>
    <row r="24" spans="1:13" x14ac:dyDescent="0.2">
      <c r="A24" t="str">
        <f>CONCATENATE(B24,"-",C24)</f>
        <v>LDO-42STH60-2004MAC (Railcore)</v>
      </c>
      <c r="B24" s="12" t="s">
        <v>15</v>
      </c>
      <c r="C24" s="12" t="s">
        <v>26</v>
      </c>
      <c r="D24" s="10">
        <v>17</v>
      </c>
      <c r="E24" s="12">
        <v>60</v>
      </c>
      <c r="F24" s="12">
        <v>0.9</v>
      </c>
      <c r="G24" s="12">
        <v>2</v>
      </c>
      <c r="H24" s="12">
        <v>59</v>
      </c>
      <c r="I24" s="12">
        <v>3</v>
      </c>
      <c r="J24" s="12">
        <v>1.4</v>
      </c>
      <c r="K24" s="12">
        <v>120</v>
      </c>
      <c r="L24" s="12"/>
      <c r="M24" s="11" t="s">
        <v>87</v>
      </c>
    </row>
    <row r="25" spans="1:13" x14ac:dyDescent="0.2">
      <c r="A25" t="str">
        <f>CONCATENATE(B25,"-",C25)</f>
        <v>LDO-42STH60-2004MAH</v>
      </c>
      <c r="B25" s="4" t="s">
        <v>15</v>
      </c>
      <c r="C25" s="4" t="s">
        <v>108</v>
      </c>
      <c r="D25" s="4">
        <v>17</v>
      </c>
      <c r="E25" s="4">
        <v>60</v>
      </c>
      <c r="F25" s="4">
        <v>0.9</v>
      </c>
      <c r="G25" s="4">
        <v>2</v>
      </c>
      <c r="H25" s="4">
        <f>9.8*6</f>
        <v>58.800000000000004</v>
      </c>
      <c r="I25" s="4">
        <v>3</v>
      </c>
      <c r="J25" s="4">
        <v>1.4</v>
      </c>
      <c r="K25" s="4">
        <v>120</v>
      </c>
      <c r="M25" t="s">
        <v>109</v>
      </c>
    </row>
    <row r="26" spans="1:13" x14ac:dyDescent="0.2">
      <c r="A26" t="str">
        <f>CONCATENATE(B26,"-",C26)</f>
        <v>Moons-MS14HA1P4150</v>
      </c>
      <c r="B26" s="12" t="s">
        <v>17</v>
      </c>
      <c r="C26" s="12" t="s">
        <v>35</v>
      </c>
      <c r="D26" s="10">
        <v>14</v>
      </c>
      <c r="E26" s="12">
        <v>27</v>
      </c>
      <c r="F26" s="12">
        <v>0.9</v>
      </c>
      <c r="G26" s="12">
        <v>1.5</v>
      </c>
      <c r="H26" s="12">
        <v>11</v>
      </c>
      <c r="I26" s="12">
        <v>1.8</v>
      </c>
      <c r="J26" s="12">
        <v>1.55</v>
      </c>
      <c r="K26" s="12">
        <v>12</v>
      </c>
      <c r="L26" s="12"/>
      <c r="M26" s="11" t="s">
        <v>97</v>
      </c>
    </row>
    <row r="27" spans="1:13" x14ac:dyDescent="0.2">
      <c r="A27" t="str">
        <f>CONCATENATE(B27,"-",C27)</f>
        <v>Moons-MS14HA3P4150</v>
      </c>
      <c r="B27" s="12" t="s">
        <v>17</v>
      </c>
      <c r="C27" s="12" t="s">
        <v>12</v>
      </c>
      <c r="D27" s="10">
        <v>14</v>
      </c>
      <c r="E27" s="12">
        <v>36</v>
      </c>
      <c r="F27" s="12">
        <v>0.9</v>
      </c>
      <c r="G27" s="12">
        <v>1.5</v>
      </c>
      <c r="H27" s="12">
        <v>18</v>
      </c>
      <c r="I27" s="12">
        <v>2.2000000000000002</v>
      </c>
      <c r="J27" s="12">
        <v>1.61</v>
      </c>
      <c r="K27" s="12">
        <v>20</v>
      </c>
      <c r="L27" s="12"/>
      <c r="M27" s="11" t="s">
        <v>95</v>
      </c>
    </row>
    <row r="28" spans="1:13" x14ac:dyDescent="0.2">
      <c r="A28" t="str">
        <f>CONCATENATE(B28,"-",C28)</f>
        <v>Moons-MS17HA2P4150 </v>
      </c>
      <c r="B28" s="13" t="s">
        <v>17</v>
      </c>
      <c r="C28" s="12" t="s">
        <v>76</v>
      </c>
      <c r="D28" s="9">
        <v>17</v>
      </c>
      <c r="E28" s="13">
        <v>39.799999999999997</v>
      </c>
      <c r="F28" s="13">
        <v>0.9</v>
      </c>
      <c r="G28" s="13">
        <v>1.5</v>
      </c>
      <c r="H28" s="13">
        <v>40</v>
      </c>
      <c r="I28" s="13">
        <v>5.4</v>
      </c>
      <c r="J28" s="13">
        <v>1.98</v>
      </c>
      <c r="K28" s="13">
        <v>57</v>
      </c>
      <c r="L28" s="13"/>
      <c r="M28" s="11" t="s">
        <v>77</v>
      </c>
    </row>
    <row r="29" spans="1:13" x14ac:dyDescent="0.2">
      <c r="A29" t="str">
        <f>CONCATENATE(B29,"-",C29)</f>
        <v>Moons-MS17HA2P4200</v>
      </c>
      <c r="B29" s="12" t="s">
        <v>17</v>
      </c>
      <c r="C29" s="12" t="s">
        <v>29</v>
      </c>
      <c r="D29" s="10">
        <v>17</v>
      </c>
      <c r="E29" s="12">
        <v>40</v>
      </c>
      <c r="F29" s="12">
        <v>0.9</v>
      </c>
      <c r="G29" s="12">
        <v>2</v>
      </c>
      <c r="H29" s="12">
        <v>39</v>
      </c>
      <c r="I29" s="12">
        <v>2.8</v>
      </c>
      <c r="J29" s="12">
        <v>1.05</v>
      </c>
      <c r="K29" s="12">
        <v>57</v>
      </c>
      <c r="L29" s="12"/>
      <c r="M29" s="11" t="s">
        <v>90</v>
      </c>
    </row>
    <row r="30" spans="1:13" x14ac:dyDescent="0.2">
      <c r="A30" t="str">
        <f>CONCATENATE(B30,"-",C30)</f>
        <v>Moons-MS17HDBP4100</v>
      </c>
      <c r="B30" s="12" t="s">
        <v>17</v>
      </c>
      <c r="C30" s="12" t="s">
        <v>36</v>
      </c>
      <c r="D30" s="10">
        <v>17</v>
      </c>
      <c r="E30" s="12">
        <v>63</v>
      </c>
      <c r="F30" s="12">
        <v>1.8</v>
      </c>
      <c r="G30" s="12">
        <v>1</v>
      </c>
      <c r="H30" s="12">
        <v>82</v>
      </c>
      <c r="I30" s="12">
        <v>14.6</v>
      </c>
      <c r="J30" s="12">
        <v>5.6</v>
      </c>
      <c r="K30" s="12">
        <v>123</v>
      </c>
      <c r="L30" s="12"/>
      <c r="M30" s="11" t="s">
        <v>98</v>
      </c>
    </row>
    <row r="31" spans="1:13" x14ac:dyDescent="0.2">
      <c r="A31" t="str">
        <f>CONCATENATE(B31,"-",C31)</f>
        <v>Motech-MT-1704HSM168RE</v>
      </c>
      <c r="B31" s="12" t="s">
        <v>18</v>
      </c>
      <c r="C31" s="12" t="s">
        <v>31</v>
      </c>
      <c r="D31" s="10">
        <v>17</v>
      </c>
      <c r="E31" s="12">
        <v>48</v>
      </c>
      <c r="F31" s="12">
        <v>0.9</v>
      </c>
      <c r="G31" s="12">
        <v>1.68</v>
      </c>
      <c r="H31" s="12">
        <v>43</v>
      </c>
      <c r="I31" s="12">
        <v>2.8</v>
      </c>
      <c r="J31" s="12">
        <v>1.65</v>
      </c>
      <c r="K31" s="12">
        <v>68</v>
      </c>
      <c r="L31" s="12"/>
      <c r="M31" s="11" t="s">
        <v>92</v>
      </c>
    </row>
    <row r="32" spans="1:13" x14ac:dyDescent="0.2">
      <c r="A32" t="str">
        <f>CONCATENATE(B32,"-",C32)</f>
        <v>Nanotec-ST4209L1704-A</v>
      </c>
      <c r="B32" s="12" t="s">
        <v>16</v>
      </c>
      <c r="C32" s="12" t="s">
        <v>28</v>
      </c>
      <c r="D32" s="10">
        <v>17</v>
      </c>
      <c r="E32" s="12">
        <v>48</v>
      </c>
      <c r="F32" s="12">
        <v>0.9</v>
      </c>
      <c r="G32" s="12">
        <v>1.68</v>
      </c>
      <c r="H32" s="12">
        <v>44</v>
      </c>
      <c r="I32" s="12">
        <v>5</v>
      </c>
      <c r="J32" s="12">
        <v>1.8</v>
      </c>
      <c r="K32" s="12">
        <v>68</v>
      </c>
      <c r="L32" s="12"/>
      <c r="M32" s="11" t="s">
        <v>89</v>
      </c>
    </row>
    <row r="33" spans="1:13" x14ac:dyDescent="0.2">
      <c r="A33" t="str">
        <f>CONCATENATE(B33,"-",C33)</f>
        <v>OMC-14HS10-0404S</v>
      </c>
      <c r="B33" s="12" t="s">
        <v>14</v>
      </c>
      <c r="C33" s="12" t="s">
        <v>101</v>
      </c>
      <c r="D33" s="10">
        <v>14</v>
      </c>
      <c r="E33" s="12">
        <v>26</v>
      </c>
      <c r="F33" s="12">
        <v>1.8</v>
      </c>
      <c r="G33" s="12">
        <v>0.4</v>
      </c>
      <c r="H33" s="12">
        <v>14</v>
      </c>
      <c r="I33" s="12">
        <v>30</v>
      </c>
      <c r="J33" s="12">
        <v>30</v>
      </c>
      <c r="K33" s="12">
        <v>12</v>
      </c>
      <c r="L33" s="12"/>
      <c r="M33" s="11" t="s">
        <v>102</v>
      </c>
    </row>
    <row r="34" spans="1:13" x14ac:dyDescent="0.2">
      <c r="A34" t="str">
        <f>CONCATENATE(B34,"-",C34)</f>
        <v>OMC-14HS13-0804S</v>
      </c>
      <c r="B34" s="12" t="s">
        <v>14</v>
      </c>
      <c r="C34" s="12" t="s">
        <v>37</v>
      </c>
      <c r="D34" s="10">
        <v>14</v>
      </c>
      <c r="E34" s="12">
        <v>34</v>
      </c>
      <c r="F34" s="12">
        <v>1.8</v>
      </c>
      <c r="G34" s="12">
        <v>0.8</v>
      </c>
      <c r="H34" s="12">
        <v>18</v>
      </c>
      <c r="I34" s="12">
        <v>10</v>
      </c>
      <c r="J34" s="12">
        <v>6.8</v>
      </c>
      <c r="K34" s="12">
        <v>14</v>
      </c>
      <c r="L34" s="12"/>
      <c r="M34" s="11" t="s">
        <v>99</v>
      </c>
    </row>
    <row r="35" spans="1:13" x14ac:dyDescent="0.2">
      <c r="A35" t="str">
        <f>CONCATENATE(B35,"-",C35)</f>
        <v>OMC-14HS17-0504S</v>
      </c>
      <c r="B35" s="12" t="s">
        <v>14</v>
      </c>
      <c r="C35" s="12" t="s">
        <v>32</v>
      </c>
      <c r="D35" s="10">
        <v>14</v>
      </c>
      <c r="E35" s="12">
        <v>42</v>
      </c>
      <c r="F35" s="12">
        <v>1.8</v>
      </c>
      <c r="G35" s="12">
        <v>0.5</v>
      </c>
      <c r="H35" s="12">
        <v>23</v>
      </c>
      <c r="I35" s="12">
        <v>26</v>
      </c>
      <c r="J35" s="12">
        <v>15</v>
      </c>
      <c r="K35" s="12">
        <v>18</v>
      </c>
      <c r="L35" s="12"/>
      <c r="M35" s="11" t="s">
        <v>93</v>
      </c>
    </row>
    <row r="36" spans="1:13" x14ac:dyDescent="0.2">
      <c r="A36" t="str">
        <f>CONCATENATE(B36,"-",C36)</f>
        <v>OMC-14HS20-1504S</v>
      </c>
      <c r="B36" s="12" t="s">
        <v>14</v>
      </c>
      <c r="C36" s="12" t="s">
        <v>33</v>
      </c>
      <c r="D36" s="10">
        <v>14</v>
      </c>
      <c r="E36" s="12">
        <v>52</v>
      </c>
      <c r="F36" s="12">
        <v>1.8</v>
      </c>
      <c r="G36" s="12">
        <v>1.5</v>
      </c>
      <c r="H36" s="12">
        <v>40</v>
      </c>
      <c r="I36" s="12">
        <v>3.8</v>
      </c>
      <c r="J36" s="12">
        <v>2.8</v>
      </c>
      <c r="K36" s="12">
        <v>54</v>
      </c>
      <c r="L36" s="12" t="s">
        <v>122</v>
      </c>
      <c r="M36" s="11" t="s">
        <v>94</v>
      </c>
    </row>
    <row r="37" spans="1:13" x14ac:dyDescent="0.2">
      <c r="A37" t="str">
        <f>CONCATENATE(B37,"-",C37)</f>
        <v>OMC-17HM19-1684S</v>
      </c>
      <c r="B37" s="12" t="s">
        <v>14</v>
      </c>
      <c r="C37" s="12" t="s">
        <v>21</v>
      </c>
      <c r="D37" s="10">
        <v>17</v>
      </c>
      <c r="E37" s="12">
        <v>48</v>
      </c>
      <c r="F37" s="12">
        <v>0.9</v>
      </c>
      <c r="G37" s="12">
        <v>1.68</v>
      </c>
      <c r="H37" s="12">
        <v>44</v>
      </c>
      <c r="I37" s="12">
        <v>4.0999999999999996</v>
      </c>
      <c r="J37" s="12">
        <v>1.65</v>
      </c>
      <c r="K37" s="12">
        <v>68</v>
      </c>
      <c r="L37" s="12"/>
      <c r="M37" s="11" t="s">
        <v>82</v>
      </c>
    </row>
    <row r="38" spans="1:13" x14ac:dyDescent="0.2">
      <c r="A38" t="str">
        <f>CONCATENATE(B38,"-",C38)</f>
        <v>OMC-17HM19-2004S</v>
      </c>
      <c r="B38" s="12" t="s">
        <v>14</v>
      </c>
      <c r="C38" s="12" t="s">
        <v>20</v>
      </c>
      <c r="D38" s="10">
        <v>17</v>
      </c>
      <c r="E38" s="12">
        <v>48</v>
      </c>
      <c r="F38" s="12">
        <v>0.9</v>
      </c>
      <c r="G38" s="12">
        <v>2</v>
      </c>
      <c r="H38" s="12">
        <v>46</v>
      </c>
      <c r="I38" s="12">
        <v>4</v>
      </c>
      <c r="J38" s="12">
        <v>1.45</v>
      </c>
      <c r="K38" s="12">
        <v>82</v>
      </c>
      <c r="L38" s="12"/>
      <c r="M38" s="11" t="s">
        <v>81</v>
      </c>
    </row>
    <row r="39" spans="1:13" x14ac:dyDescent="0.2">
      <c r="A39" t="str">
        <f>CONCATENATE(B39,"-",C39)</f>
        <v>OMC-17HS08-1004S</v>
      </c>
      <c r="B39" s="4" t="s">
        <v>14</v>
      </c>
      <c r="C39" s="4" t="s">
        <v>130</v>
      </c>
      <c r="D39" s="4">
        <v>17</v>
      </c>
      <c r="E39" s="4">
        <v>20</v>
      </c>
      <c r="F39" s="4">
        <v>1.8</v>
      </c>
      <c r="G39" s="4">
        <v>1</v>
      </c>
      <c r="H39" s="4">
        <v>16</v>
      </c>
      <c r="I39" s="4">
        <v>3.7</v>
      </c>
      <c r="J39" s="4">
        <v>4.5</v>
      </c>
      <c r="K39" s="4">
        <v>22</v>
      </c>
    </row>
    <row r="40" spans="1:13" x14ac:dyDescent="0.2">
      <c r="A40" t="str">
        <f>CONCATENATE(B40,"-",C40)</f>
        <v>OMC-17HS13-0404S1</v>
      </c>
      <c r="B40" s="12" t="s">
        <v>14</v>
      </c>
      <c r="C40" s="12" t="s">
        <v>34</v>
      </c>
      <c r="D40" s="10">
        <v>17</v>
      </c>
      <c r="E40" s="12">
        <v>34</v>
      </c>
      <c r="F40" s="12">
        <v>1.8</v>
      </c>
      <c r="G40" s="12">
        <v>0.4</v>
      </c>
      <c r="H40" s="12">
        <v>26</v>
      </c>
      <c r="I40" s="12">
        <v>37</v>
      </c>
      <c r="J40" s="12">
        <v>30</v>
      </c>
      <c r="K40" s="12">
        <v>38</v>
      </c>
      <c r="L40" s="12"/>
      <c r="M40" s="11" t="s">
        <v>96</v>
      </c>
    </row>
    <row r="41" spans="1:13" x14ac:dyDescent="0.2">
      <c r="A41" t="str">
        <f>CONCATENATE(B41,"-",C41)</f>
        <v>OMC-17HS16-2004S1</v>
      </c>
      <c r="B41" s="12" t="s">
        <v>14</v>
      </c>
      <c r="C41" s="12" t="s">
        <v>19</v>
      </c>
      <c r="D41" s="10">
        <v>17</v>
      </c>
      <c r="E41" s="12">
        <v>40</v>
      </c>
      <c r="F41" s="12">
        <v>1.8</v>
      </c>
      <c r="G41" s="12">
        <v>2</v>
      </c>
      <c r="H41" s="12">
        <v>45</v>
      </c>
      <c r="I41" s="12">
        <v>2.6</v>
      </c>
      <c r="J41" s="12">
        <v>1.1000000000000001</v>
      </c>
      <c r="K41" s="12">
        <v>54</v>
      </c>
      <c r="L41" s="12"/>
      <c r="M41" s="11" t="s">
        <v>80</v>
      </c>
    </row>
    <row r="42" spans="1:13" x14ac:dyDescent="0.2">
      <c r="A42" t="str">
        <f>CONCATENATE(B42,"-",C42)</f>
        <v>OMC-17HS19-2004S1</v>
      </c>
      <c r="B42" s="12" t="s">
        <v>14</v>
      </c>
      <c r="C42" s="12" t="s">
        <v>78</v>
      </c>
      <c r="D42" s="10">
        <v>17</v>
      </c>
      <c r="E42" s="12">
        <v>48</v>
      </c>
      <c r="F42" s="12">
        <v>1.8</v>
      </c>
      <c r="G42" s="12">
        <v>2</v>
      </c>
      <c r="H42" s="12">
        <v>59</v>
      </c>
      <c r="I42" s="12">
        <v>3</v>
      </c>
      <c r="J42" s="12">
        <v>1.4</v>
      </c>
      <c r="K42" s="12">
        <v>82</v>
      </c>
      <c r="L42" s="12"/>
      <c r="M42" s="11" t="s">
        <v>79</v>
      </c>
    </row>
    <row r="43" spans="1:13" x14ac:dyDescent="0.2">
      <c r="A43" t="str">
        <f>CONCATENATE(B43,"-",C43)</f>
        <v>OMC-17HS24-2104S</v>
      </c>
      <c r="B43" s="4" t="s">
        <v>14</v>
      </c>
      <c r="C43" s="4" t="s">
        <v>113</v>
      </c>
      <c r="D43" s="4">
        <v>17</v>
      </c>
      <c r="E43" s="4">
        <v>60</v>
      </c>
      <c r="F43" s="4">
        <v>1.8</v>
      </c>
      <c r="G43" s="4">
        <v>2.1</v>
      </c>
      <c r="H43" s="4">
        <v>65</v>
      </c>
      <c r="I43" s="4">
        <v>3</v>
      </c>
      <c r="J43" s="4">
        <v>1.6</v>
      </c>
      <c r="K43" s="4">
        <v>148</v>
      </c>
    </row>
  </sheetData>
  <autoFilter ref="A2:M26" xr:uid="{4E5820D9-FC51-B24E-8652-C82A7458A230}">
    <sortState xmlns:xlrd2="http://schemas.microsoft.com/office/spreadsheetml/2017/richdata2" ref="A3:M43">
      <sortCondition ref="A2:A43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2" r:id="rId1" xr:uid="{C2775235-EB6F-7040-BBAD-E349E51BBBBB}"/>
    <hyperlink ref="M41" r:id="rId2" xr:uid="{8DC8DF4C-0DC9-F947-AC59-4E2ED6070688}"/>
    <hyperlink ref="M38" r:id="rId3" xr:uid="{E3120C9D-BB54-9B49-A5BA-4D9B56A62E76}"/>
    <hyperlink ref="M37" r:id="rId4" xr:uid="{BAB8A304-2D89-EC4D-89E1-9EF92AA59F59}"/>
    <hyperlink ref="M16" r:id="rId5" xr:uid="{011BC0B7-A0CF-E04C-83A9-9EAEC4CB4F2C}"/>
    <hyperlink ref="M18" r:id="rId6" xr:uid="{3B96C3D1-4CAC-484D-8A07-9D312A8A905E}"/>
    <hyperlink ref="M23" r:id="rId7" xr:uid="{2420A367-9004-D44E-854F-EE7FD0593775}"/>
    <hyperlink ref="M12" r:id="rId8" xr:uid="{BEFB2DF9-E9F8-C24E-A598-E5547541405B}"/>
    <hyperlink ref="M24" r:id="rId9" xr:uid="{E2810440-A68F-CC49-8A2C-D3889A6849A8}"/>
    <hyperlink ref="M19" r:id="rId10" xr:uid="{2E62C23D-106B-9640-8161-F8867A8FBF69}"/>
    <hyperlink ref="M32" r:id="rId11" xr:uid="{E0C25598-A681-6144-9081-BC17EE9946B9}"/>
    <hyperlink ref="M29" r:id="rId12" xr:uid="{C4D04378-8C2D-A640-912B-5FF8F0101379}"/>
    <hyperlink ref="M15" r:id="rId13" xr:uid="{08F335D5-DEC6-A642-B4A0-7E4EA95B8F0B}"/>
    <hyperlink ref="M31" r:id="rId14" xr:uid="{05896135-9D69-884B-83F5-A00B98BF9FED}"/>
    <hyperlink ref="M35" r:id="rId15" xr:uid="{6BD4800E-276E-0C43-998D-318466961CEE}"/>
    <hyperlink ref="M36" r:id="rId16" xr:uid="{039EF56E-DB7D-6747-8F85-696346E01452}"/>
    <hyperlink ref="M27" r:id="rId17" xr:uid="{7F9877EC-7C62-8847-8D0E-A7E7B1EDEE43}"/>
    <hyperlink ref="M40" r:id="rId18" xr:uid="{99CD061C-61E4-C64A-899F-19BDE0DBADA3}"/>
    <hyperlink ref="M26" r:id="rId19" xr:uid="{A3632361-F340-9D40-898D-F49B347AE315}"/>
    <hyperlink ref="M30" r:id="rId20" xr:uid="{DEA02D60-7AD5-9044-82AD-A8256F43B20E}"/>
    <hyperlink ref="M34" r:id="rId21" xr:uid="{024573C7-FF81-0B40-A9F9-7A18C6279FE8}"/>
    <hyperlink ref="M28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baseColWidth="10" defaultColWidth="8.83203125" defaultRowHeight="15" x14ac:dyDescent="0.2"/>
  <cols>
    <col min="1" max="1" width="25.6640625" bestFit="1" customWidth="1"/>
    <col min="3" max="8" width="8.83203125" style="2"/>
    <col min="9" max="9" width="8.83203125" style="20"/>
    <col min="10" max="11" width="8.83203125" style="21"/>
  </cols>
  <sheetData>
    <row r="1" spans="1:14" x14ac:dyDescent="0.2">
      <c r="A1" t="s">
        <v>2</v>
      </c>
      <c r="B1" t="s">
        <v>151</v>
      </c>
      <c r="D1" s="15" t="s">
        <v>133</v>
      </c>
      <c r="E1" s="15" t="s">
        <v>134</v>
      </c>
      <c r="F1" s="16" t="s">
        <v>135</v>
      </c>
      <c r="G1" s="16" t="s">
        <v>136</v>
      </c>
      <c r="H1" s="16" t="s">
        <v>137</v>
      </c>
      <c r="I1" s="16" t="s">
        <v>138</v>
      </c>
      <c r="J1" s="16" t="s">
        <v>139</v>
      </c>
      <c r="K1" s="16" t="s">
        <v>140</v>
      </c>
      <c r="L1" s="17" t="s">
        <v>141</v>
      </c>
      <c r="M1" s="18" t="s">
        <v>142</v>
      </c>
      <c r="N1" s="18" t="s">
        <v>143</v>
      </c>
    </row>
    <row r="2" spans="1:14" x14ac:dyDescent="0.2">
      <c r="A2" s="19" t="s">
        <v>144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20">
        <f t="shared" ref="L2:L25" si="5">K2/$B$5</f>
        <v>0.6</v>
      </c>
      <c r="M2" s="21">
        <f>L2*$B$8/(100*SQRT(2))</f>
        <v>0.25031580054003782</v>
      </c>
      <c r="N2" s="21">
        <f>M2*SQRT(2)</f>
        <v>0.35400000000000004</v>
      </c>
    </row>
    <row r="3" spans="1:14" x14ac:dyDescent="0.2">
      <c r="A3" s="1" t="s">
        <v>145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20">
        <f t="shared" si="5"/>
        <v>0.6</v>
      </c>
      <c r="M3" s="21">
        <f t="shared" ref="M3:M25" si="8">L3*$B$8/(100*SQRT(2))</f>
        <v>0.25031580054003782</v>
      </c>
      <c r="N3" s="21">
        <f t="shared" ref="N3:N25" si="9">M3*SQRT(2)</f>
        <v>0.35400000000000004</v>
      </c>
    </row>
    <row r="4" spans="1:14" x14ac:dyDescent="0.2">
      <c r="A4" s="1" t="s">
        <v>146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20">
        <f t="shared" si="5"/>
        <v>0.6</v>
      </c>
      <c r="M4" s="21">
        <f t="shared" si="8"/>
        <v>0.25031580054003782</v>
      </c>
      <c r="N4" s="21">
        <f t="shared" si="9"/>
        <v>0.35400000000000004</v>
      </c>
    </row>
    <row r="5" spans="1:14" x14ac:dyDescent="0.2">
      <c r="A5" s="1" t="s">
        <v>147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20">
        <f t="shared" si="5"/>
        <v>0.6</v>
      </c>
      <c r="M5" s="21">
        <f t="shared" si="8"/>
        <v>0.25031580054003782</v>
      </c>
      <c r="N5" s="21">
        <f t="shared" si="9"/>
        <v>0.35400000000000004</v>
      </c>
    </row>
    <row r="6" spans="1:14" x14ac:dyDescent="0.2">
      <c r="A6" s="1" t="s">
        <v>148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20">
        <f t="shared" si="5"/>
        <v>0.6</v>
      </c>
      <c r="M6" s="21">
        <f t="shared" si="8"/>
        <v>0.25031580054003782</v>
      </c>
      <c r="N6" s="21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20">
        <f t="shared" si="5"/>
        <v>0.6</v>
      </c>
      <c r="M7" s="21">
        <f t="shared" si="8"/>
        <v>0.25031580054003782</v>
      </c>
      <c r="N7" s="21">
        <f t="shared" si="9"/>
        <v>0.35400000000000004</v>
      </c>
    </row>
    <row r="8" spans="1:14" x14ac:dyDescent="0.2">
      <c r="A8" s="1" t="s">
        <v>149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20">
        <f t="shared" si="5"/>
        <v>0.6</v>
      </c>
      <c r="M8" s="21">
        <f t="shared" si="8"/>
        <v>0.25031580054003782</v>
      </c>
      <c r="N8" s="21">
        <f t="shared" si="9"/>
        <v>0.35400000000000004</v>
      </c>
    </row>
    <row r="9" spans="1:14" x14ac:dyDescent="0.2">
      <c r="A9" s="19" t="s">
        <v>150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20">
        <f t="shared" si="5"/>
        <v>0.6</v>
      </c>
      <c r="M9" s="21">
        <f t="shared" si="8"/>
        <v>0.25031580054003782</v>
      </c>
      <c r="N9" s="21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20">
        <f t="shared" si="5"/>
        <v>0.6</v>
      </c>
      <c r="M10" s="21">
        <f t="shared" si="8"/>
        <v>0.25031580054003782</v>
      </c>
      <c r="N10" s="21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20">
        <f t="shared" si="5"/>
        <v>0.50317407765371647</v>
      </c>
      <c r="M11" s="21">
        <f t="shared" si="8"/>
        <v>0.20992070343147531</v>
      </c>
      <c r="N11" s="21">
        <f t="shared" si="9"/>
        <v>0.29687270581569269</v>
      </c>
    </row>
    <row r="12" spans="1:14" x14ac:dyDescent="0.2">
      <c r="A12" t="s">
        <v>152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20">
        <f t="shared" si="5"/>
        <v>0.40718265429476624</v>
      </c>
      <c r="M12" s="21">
        <f t="shared" si="8"/>
        <v>0.16987375345968647</v>
      </c>
      <c r="N12" s="21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20">
        <f t="shared" si="5"/>
        <v>0.32542753018676657</v>
      </c>
      <c r="M13" s="21">
        <f t="shared" si="8"/>
        <v>0.13576608789411299</v>
      </c>
      <c r="N13" s="21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20">
        <f t="shared" si="5"/>
        <v>0.25496030475211212</v>
      </c>
      <c r="M14" s="21">
        <f t="shared" si="8"/>
        <v>0.10636765464992826</v>
      </c>
      <c r="N14" s="21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20">
        <f t="shared" si="5"/>
        <v>0.19359417008590513</v>
      </c>
      <c r="M15" s="21">
        <f t="shared" si="8"/>
        <v>8.0766132774895971E-2</v>
      </c>
      <c r="N15" s="21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20">
        <f t="shared" si="5"/>
        <v>0.13967292155280306</v>
      </c>
      <c r="M16" s="21">
        <f t="shared" si="8"/>
        <v>5.8270565287092999E-2</v>
      </c>
      <c r="N16" s="21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20">
        <f t="shared" si="5"/>
        <v>9.1919230669093979E-2</v>
      </c>
      <c r="M17" s="21">
        <f t="shared" si="8"/>
        <v>3.8348059683264421E-2</v>
      </c>
      <c r="N17" s="21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20">
        <f t="shared" si="5"/>
        <v>4.933216552258457E-2</v>
      </c>
      <c r="M18" s="21">
        <f t="shared" si="8"/>
        <v>2.0581034175265682E-2</v>
      </c>
      <c r="N18" s="21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20">
        <f t="shared" si="5"/>
        <v>1.111626692266696E-2</v>
      </c>
      <c r="M19" s="21">
        <f t="shared" si="8"/>
        <v>4.6376287562735381E-3</v>
      </c>
      <c r="N19" s="21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20">
        <f t="shared" si="5"/>
        <v>0</v>
      </c>
      <c r="M20" s="21">
        <f t="shared" si="8"/>
        <v>0</v>
      </c>
      <c r="N20" s="21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20">
        <f t="shared" si="5"/>
        <v>0</v>
      </c>
      <c r="M21" s="21">
        <f t="shared" si="8"/>
        <v>0</v>
      </c>
      <c r="N21" s="21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20">
        <f t="shared" si="5"/>
        <v>0</v>
      </c>
      <c r="M22" s="21">
        <f t="shared" si="8"/>
        <v>0</v>
      </c>
      <c r="N22" s="21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20">
        <f t="shared" si="5"/>
        <v>0</v>
      </c>
      <c r="M23" s="21">
        <f t="shared" si="8"/>
        <v>0</v>
      </c>
      <c r="N23" s="21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20">
        <f t="shared" si="5"/>
        <v>0</v>
      </c>
      <c r="M24" s="21">
        <f t="shared" si="8"/>
        <v>0</v>
      </c>
      <c r="N24" s="21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20">
        <f t="shared" si="5"/>
        <v>0</v>
      </c>
      <c r="M25" s="21">
        <f t="shared" si="8"/>
        <v>0</v>
      </c>
      <c r="N25" s="21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spans="3:11" x14ac:dyDescent="0.2">
      <c r="C33"/>
      <c r="D33"/>
      <c r="E33"/>
      <c r="F33"/>
      <c r="G33"/>
      <c r="H33"/>
      <c r="I33"/>
      <c r="J33"/>
      <c r="K33"/>
    </row>
    <row r="34" spans="3:11" x14ac:dyDescent="0.2">
      <c r="C34"/>
      <c r="D34"/>
      <c r="E34"/>
      <c r="F34"/>
      <c r="G34"/>
      <c r="H34"/>
      <c r="I34"/>
      <c r="J34"/>
      <c r="K34"/>
    </row>
    <row r="35" spans="3:11" x14ac:dyDescent="0.2">
      <c r="C35"/>
      <c r="D35"/>
      <c r="E35"/>
      <c r="F35"/>
      <c r="G35"/>
      <c r="H35"/>
      <c r="I35"/>
      <c r="J35"/>
      <c r="K35"/>
    </row>
    <row r="36" spans="3:11" x14ac:dyDescent="0.2">
      <c r="C36"/>
      <c r="D36"/>
      <c r="E36"/>
      <c r="F36"/>
      <c r="G36"/>
      <c r="H36"/>
      <c r="I36"/>
      <c r="J36"/>
      <c r="K36"/>
    </row>
    <row r="37" spans="3:11" x14ac:dyDescent="0.2">
      <c r="C37"/>
      <c r="D37"/>
      <c r="E37"/>
      <c r="F37"/>
      <c r="G37"/>
      <c r="H37"/>
      <c r="I37"/>
      <c r="J37"/>
      <c r="K37"/>
    </row>
    <row r="38" spans="3:11" x14ac:dyDescent="0.2">
      <c r="C38"/>
      <c r="D38"/>
      <c r="E38"/>
      <c r="F38"/>
      <c r="G38"/>
      <c r="H38"/>
      <c r="I38"/>
      <c r="J38"/>
      <c r="K38"/>
    </row>
    <row r="39" spans="3:11" x14ac:dyDescent="0.2">
      <c r="C39"/>
      <c r="D39"/>
      <c r="E39"/>
      <c r="F39"/>
      <c r="G39"/>
      <c r="H39"/>
      <c r="I39"/>
      <c r="J39"/>
      <c r="K39"/>
    </row>
    <row r="40" spans="3:11" x14ac:dyDescent="0.2">
      <c r="C40"/>
      <c r="D40"/>
      <c r="E40"/>
      <c r="F40"/>
      <c r="G40"/>
      <c r="H40"/>
      <c r="I40"/>
      <c r="J40"/>
      <c r="K40"/>
    </row>
    <row r="41" spans="3:11" x14ac:dyDescent="0.2">
      <c r="C41"/>
      <c r="D41"/>
      <c r="E41"/>
      <c r="F41"/>
      <c r="G41"/>
      <c r="H41"/>
      <c r="I41"/>
      <c r="J41"/>
      <c r="K41"/>
    </row>
    <row r="42" spans="3:11" x14ac:dyDescent="0.2">
      <c r="C42"/>
      <c r="D42"/>
      <c r="E42"/>
      <c r="F42"/>
      <c r="G42"/>
      <c r="H42"/>
      <c r="I42"/>
      <c r="J42"/>
      <c r="K42"/>
    </row>
    <row r="43" spans="3:11" x14ac:dyDescent="0.2">
      <c r="C43"/>
      <c r="D43"/>
      <c r="E43"/>
      <c r="F43"/>
      <c r="G43"/>
      <c r="H43"/>
      <c r="I43"/>
      <c r="J43"/>
      <c r="K43"/>
    </row>
    <row r="44" spans="3:11" x14ac:dyDescent="0.2">
      <c r="C44"/>
      <c r="D44"/>
      <c r="E44"/>
      <c r="F44"/>
      <c r="G44"/>
      <c r="H44"/>
      <c r="I44"/>
      <c r="J44"/>
      <c r="K44"/>
    </row>
    <row r="45" spans="3:11" x14ac:dyDescent="0.2">
      <c r="C45"/>
      <c r="D45"/>
      <c r="E45"/>
      <c r="F45"/>
      <c r="G45"/>
      <c r="H45"/>
      <c r="I45"/>
      <c r="J45"/>
      <c r="K45"/>
    </row>
    <row r="46" spans="3:11" x14ac:dyDescent="0.2">
      <c r="C46"/>
      <c r="D46"/>
      <c r="E46"/>
      <c r="F46"/>
      <c r="G46"/>
      <c r="H46"/>
      <c r="I46"/>
      <c r="J46"/>
      <c r="K46"/>
    </row>
    <row r="47" spans="3:11" x14ac:dyDescent="0.2">
      <c r="C47"/>
      <c r="D47"/>
      <c r="E47"/>
      <c r="F47"/>
      <c r="G47"/>
      <c r="H47"/>
      <c r="I47"/>
      <c r="J47"/>
      <c r="K47"/>
    </row>
    <row r="48" spans="3:11" x14ac:dyDescent="0.2">
      <c r="C48"/>
      <c r="D48"/>
      <c r="E48"/>
      <c r="F48"/>
      <c r="G48"/>
      <c r="H48"/>
      <c r="I48"/>
      <c r="J48"/>
      <c r="K48"/>
    </row>
    <row r="49" spans="3:11" x14ac:dyDescent="0.2">
      <c r="C49"/>
      <c r="D49"/>
      <c r="E49"/>
      <c r="F49"/>
      <c r="G49"/>
      <c r="H49"/>
      <c r="I49"/>
      <c r="J49"/>
      <c r="K49"/>
    </row>
    <row r="50" spans="3:11" x14ac:dyDescent="0.2">
      <c r="C50"/>
      <c r="D50"/>
      <c r="E50"/>
      <c r="F50"/>
      <c r="G50"/>
      <c r="H50"/>
      <c r="I50"/>
      <c r="J50"/>
      <c r="K50"/>
    </row>
    <row r="51" spans="3:11" x14ac:dyDescent="0.2">
      <c r="C51"/>
      <c r="D51"/>
      <c r="E51"/>
      <c r="F51"/>
      <c r="G51"/>
      <c r="H51"/>
      <c r="I51"/>
      <c r="J51"/>
      <c r="K51"/>
    </row>
    <row r="52" spans="3:11" x14ac:dyDescent="0.2">
      <c r="C52"/>
      <c r="D52"/>
      <c r="E52"/>
      <c r="F52"/>
      <c r="G52"/>
      <c r="H52"/>
      <c r="I52"/>
      <c r="J52"/>
      <c r="K52"/>
    </row>
    <row r="53" spans="3:11" x14ac:dyDescent="0.2">
      <c r="C53"/>
      <c r="D53"/>
      <c r="E53"/>
      <c r="F53"/>
      <c r="G53"/>
      <c r="H53"/>
      <c r="I53"/>
      <c r="J53"/>
      <c r="K53"/>
    </row>
    <row r="54" spans="3:11" x14ac:dyDescent="0.2">
      <c r="C54"/>
      <c r="D54"/>
      <c r="E54"/>
      <c r="F54"/>
      <c r="G54"/>
      <c r="H54"/>
      <c r="I54"/>
      <c r="J54"/>
      <c r="K54"/>
    </row>
    <row r="55" spans="3:11" x14ac:dyDescent="0.2">
      <c r="C55"/>
      <c r="D55"/>
      <c r="E55"/>
      <c r="F55"/>
      <c r="G55"/>
      <c r="H55"/>
      <c r="I55"/>
      <c r="J55"/>
      <c r="K55"/>
    </row>
    <row r="56" spans="3:11" x14ac:dyDescent="0.2">
      <c r="C56"/>
      <c r="D56"/>
      <c r="E56"/>
      <c r="F56"/>
      <c r="G56"/>
      <c r="H56"/>
      <c r="I56"/>
      <c r="J56"/>
      <c r="K56"/>
    </row>
    <row r="57" spans="3:11" x14ac:dyDescent="0.2">
      <c r="C57"/>
      <c r="D57"/>
      <c r="E57"/>
      <c r="F57"/>
      <c r="G57"/>
      <c r="H57"/>
      <c r="I57"/>
      <c r="J57"/>
      <c r="K57"/>
    </row>
    <row r="58" spans="3:11" x14ac:dyDescent="0.2">
      <c r="C58"/>
      <c r="D58"/>
      <c r="E58"/>
      <c r="F58"/>
      <c r="G58"/>
      <c r="H58"/>
      <c r="I58"/>
      <c r="J58"/>
      <c r="K58"/>
    </row>
    <row r="59" spans="3:11" x14ac:dyDescent="0.2">
      <c r="C59"/>
      <c r="D59"/>
      <c r="E59"/>
      <c r="F59"/>
      <c r="G59"/>
      <c r="H59"/>
      <c r="I59"/>
      <c r="J59"/>
      <c r="K59"/>
    </row>
    <row r="60" spans="3:11" x14ac:dyDescent="0.2">
      <c r="C60"/>
      <c r="D60"/>
      <c r="E60"/>
      <c r="F60"/>
      <c r="G60"/>
      <c r="H60"/>
      <c r="I60"/>
      <c r="J60"/>
      <c r="K60"/>
    </row>
    <row r="61" spans="3:11" x14ac:dyDescent="0.2">
      <c r="C61"/>
      <c r="D61"/>
      <c r="E61"/>
      <c r="F61"/>
      <c r="G61"/>
      <c r="H61"/>
      <c r="I61"/>
      <c r="J61"/>
      <c r="K61"/>
    </row>
    <row r="62" spans="3:11" x14ac:dyDescent="0.2">
      <c r="C62"/>
      <c r="D62"/>
      <c r="E62"/>
      <c r="F62"/>
      <c r="G62"/>
      <c r="H62"/>
      <c r="I62"/>
      <c r="J62"/>
      <c r="K62"/>
    </row>
    <row r="63" spans="3:11" x14ac:dyDescent="0.2">
      <c r="C63"/>
      <c r="D63"/>
      <c r="E63"/>
      <c r="F63"/>
      <c r="G63"/>
      <c r="H63"/>
      <c r="I63"/>
      <c r="J63"/>
      <c r="K63"/>
    </row>
    <row r="64" spans="3:11" x14ac:dyDescent="0.2">
      <c r="C64"/>
      <c r="D64"/>
      <c r="E64"/>
      <c r="F64"/>
      <c r="G64"/>
      <c r="H64"/>
      <c r="I64"/>
      <c r="J64"/>
      <c r="K64"/>
    </row>
    <row r="65" spans="3:11" x14ac:dyDescent="0.2">
      <c r="C65"/>
      <c r="D65"/>
      <c r="E65"/>
      <c r="F65"/>
      <c r="G65"/>
      <c r="H65"/>
      <c r="I65"/>
      <c r="J65"/>
      <c r="K65"/>
    </row>
    <row r="66" spans="3:11" x14ac:dyDescent="0.2">
      <c r="C66"/>
      <c r="D66"/>
      <c r="E66"/>
      <c r="F66"/>
      <c r="G66"/>
      <c r="H66"/>
      <c r="I66"/>
      <c r="J66"/>
      <c r="K66"/>
    </row>
    <row r="67" spans="3:11" x14ac:dyDescent="0.2">
      <c r="C67"/>
      <c r="D67"/>
      <c r="E67"/>
      <c r="F67"/>
      <c r="G67"/>
      <c r="H67"/>
      <c r="I67"/>
      <c r="J67"/>
      <c r="K67"/>
    </row>
    <row r="68" spans="3:11" x14ac:dyDescent="0.2">
      <c r="C68"/>
      <c r="D68"/>
      <c r="E68"/>
      <c r="F68"/>
      <c r="G68"/>
      <c r="H68"/>
      <c r="I68"/>
      <c r="J68"/>
      <c r="K68"/>
    </row>
    <row r="69" spans="3:11" x14ac:dyDescent="0.2">
      <c r="C69"/>
      <c r="D69"/>
      <c r="E69"/>
      <c r="F69"/>
      <c r="G69"/>
      <c r="H69"/>
      <c r="I69"/>
      <c r="J69"/>
      <c r="K69"/>
    </row>
    <row r="70" spans="3:11" x14ac:dyDescent="0.2">
      <c r="C70"/>
      <c r="D70"/>
      <c r="E70"/>
      <c r="F70"/>
      <c r="G70"/>
      <c r="H70"/>
      <c r="I70"/>
      <c r="J70"/>
      <c r="K70"/>
    </row>
    <row r="71" spans="3:11" x14ac:dyDescent="0.2">
      <c r="C71"/>
      <c r="D71"/>
      <c r="E71"/>
      <c r="F71"/>
      <c r="G71"/>
      <c r="H71"/>
      <c r="I71"/>
      <c r="J71"/>
      <c r="K71"/>
    </row>
    <row r="72" spans="3:11" x14ac:dyDescent="0.2">
      <c r="C72"/>
      <c r="D72"/>
      <c r="E72"/>
      <c r="F72"/>
      <c r="G72"/>
      <c r="H72"/>
      <c r="I72"/>
      <c r="J72"/>
      <c r="K72"/>
    </row>
    <row r="73" spans="3:11" x14ac:dyDescent="0.2">
      <c r="C73"/>
      <c r="D73"/>
      <c r="E73"/>
      <c r="F73"/>
      <c r="G73"/>
      <c r="H73"/>
      <c r="I73"/>
      <c r="J73"/>
      <c r="K73"/>
    </row>
    <row r="74" spans="3:11" x14ac:dyDescent="0.2">
      <c r="C74"/>
      <c r="D74"/>
      <c r="E74"/>
      <c r="F74"/>
      <c r="G74"/>
      <c r="H74"/>
      <c r="I74"/>
      <c r="J74"/>
      <c r="K74"/>
    </row>
    <row r="75" spans="3:11" x14ac:dyDescent="0.2">
      <c r="C75"/>
      <c r="D75"/>
      <c r="E75"/>
      <c r="F75"/>
      <c r="G75"/>
      <c r="H75"/>
      <c r="I75"/>
      <c r="J75"/>
      <c r="K75"/>
    </row>
    <row r="76" spans="3:11" x14ac:dyDescent="0.2">
      <c r="C76"/>
      <c r="D76"/>
      <c r="E76"/>
      <c r="F76"/>
      <c r="G76"/>
      <c r="H76"/>
      <c r="I76"/>
      <c r="J76"/>
      <c r="K76"/>
    </row>
    <row r="77" spans="3:11" x14ac:dyDescent="0.2">
      <c r="C77"/>
      <c r="D77"/>
      <c r="E77"/>
      <c r="F77"/>
      <c r="G77"/>
      <c r="H77"/>
      <c r="I77"/>
      <c r="J77"/>
      <c r="K77"/>
    </row>
    <row r="78" spans="3:11" x14ac:dyDescent="0.2">
      <c r="C78"/>
      <c r="D78"/>
      <c r="E78"/>
      <c r="F78"/>
      <c r="G78"/>
      <c r="H78"/>
      <c r="I78"/>
      <c r="J78"/>
      <c r="K78"/>
    </row>
    <row r="79" spans="3:11" x14ac:dyDescent="0.2">
      <c r="C79"/>
      <c r="D79"/>
      <c r="E79"/>
      <c r="F79"/>
      <c r="G79"/>
      <c r="H79"/>
      <c r="I79"/>
      <c r="J79"/>
      <c r="K79"/>
    </row>
    <row r="80" spans="3:11" x14ac:dyDescent="0.2">
      <c r="C80"/>
      <c r="D80"/>
      <c r="E80"/>
      <c r="F80"/>
      <c r="G80"/>
      <c r="H80"/>
      <c r="I80"/>
      <c r="J80"/>
      <c r="K80"/>
    </row>
    <row r="81" spans="3:11" x14ac:dyDescent="0.2">
      <c r="C81"/>
      <c r="D81"/>
      <c r="E81"/>
      <c r="F81"/>
      <c r="G81"/>
      <c r="H81"/>
      <c r="I81"/>
      <c r="J81"/>
      <c r="K81"/>
    </row>
    <row r="82" spans="3:11" x14ac:dyDescent="0.2">
      <c r="C82"/>
      <c r="D82"/>
      <c r="E82"/>
      <c r="F82"/>
      <c r="G82"/>
      <c r="H82"/>
      <c r="I82"/>
      <c r="J82"/>
      <c r="K82"/>
    </row>
    <row r="83" spans="3:11" x14ac:dyDescent="0.2">
      <c r="C83"/>
      <c r="D83"/>
      <c r="E83"/>
      <c r="F83"/>
      <c r="G83"/>
      <c r="H83"/>
      <c r="I83"/>
      <c r="J83"/>
      <c r="K83"/>
    </row>
    <row r="84" spans="3:11" x14ac:dyDescent="0.2">
      <c r="C84"/>
      <c r="D84"/>
      <c r="E84"/>
      <c r="F84"/>
      <c r="G84"/>
      <c r="H84"/>
      <c r="I84"/>
      <c r="J84"/>
      <c r="K84"/>
    </row>
    <row r="85" spans="3:11" x14ac:dyDescent="0.2">
      <c r="C85"/>
      <c r="D85"/>
      <c r="E85"/>
      <c r="F85"/>
      <c r="G85"/>
      <c r="H85"/>
      <c r="I85"/>
      <c r="J85"/>
      <c r="K85"/>
    </row>
    <row r="86" spans="3:11" x14ac:dyDescent="0.2">
      <c r="C86"/>
      <c r="D86"/>
      <c r="E86"/>
      <c r="F86"/>
      <c r="G86"/>
      <c r="H86"/>
      <c r="I86"/>
      <c r="J86"/>
      <c r="K86"/>
    </row>
    <row r="87" spans="3:11" x14ac:dyDescent="0.2">
      <c r="C87"/>
      <c r="D87"/>
      <c r="E87"/>
      <c r="F87"/>
      <c r="G87"/>
      <c r="H87"/>
      <c r="I87"/>
      <c r="J87"/>
      <c r="K87"/>
    </row>
    <row r="88" spans="3:11" x14ac:dyDescent="0.2">
      <c r="C88"/>
      <c r="D88"/>
      <c r="E88"/>
      <c r="F88"/>
      <c r="G88"/>
      <c r="H88"/>
      <c r="I88"/>
      <c r="J88"/>
      <c r="K88"/>
    </row>
    <row r="89" spans="3:11" x14ac:dyDescent="0.2">
      <c r="C89"/>
      <c r="D89"/>
      <c r="E89"/>
      <c r="F89"/>
      <c r="G89"/>
      <c r="H89"/>
      <c r="I89"/>
      <c r="J89"/>
      <c r="K89"/>
    </row>
    <row r="90" spans="3:11" x14ac:dyDescent="0.2">
      <c r="C90"/>
      <c r="D90"/>
      <c r="E90"/>
      <c r="F90"/>
      <c r="G90"/>
      <c r="H90"/>
      <c r="I90"/>
      <c r="J90"/>
      <c r="K90"/>
    </row>
    <row r="91" spans="3:11" x14ac:dyDescent="0.2">
      <c r="C91"/>
      <c r="D91"/>
      <c r="E91"/>
      <c r="F91"/>
      <c r="G91"/>
      <c r="H91"/>
      <c r="I91"/>
      <c r="J91"/>
      <c r="K91"/>
    </row>
    <row r="92" spans="3:11" x14ac:dyDescent="0.2">
      <c r="C92"/>
      <c r="D92"/>
      <c r="E92"/>
      <c r="F92"/>
      <c r="G92"/>
      <c r="H92"/>
      <c r="I92"/>
      <c r="J92"/>
      <c r="K92"/>
    </row>
    <row r="93" spans="3:11" x14ac:dyDescent="0.2">
      <c r="C93"/>
      <c r="D93"/>
      <c r="E93"/>
      <c r="F93"/>
      <c r="G93"/>
      <c r="H93"/>
      <c r="I93"/>
      <c r="J93"/>
      <c r="K93"/>
    </row>
    <row r="94" spans="3:11" x14ac:dyDescent="0.2">
      <c r="C94"/>
      <c r="D94"/>
      <c r="E94"/>
      <c r="F94"/>
      <c r="G94"/>
      <c r="H94"/>
      <c r="I94"/>
      <c r="J94"/>
      <c r="K94"/>
    </row>
    <row r="95" spans="3:11" x14ac:dyDescent="0.2">
      <c r="C95"/>
      <c r="D95"/>
      <c r="E95"/>
      <c r="F95"/>
      <c r="G95"/>
      <c r="H95"/>
      <c r="I95"/>
      <c r="J95"/>
      <c r="K95"/>
    </row>
    <row r="96" spans="3:11" x14ac:dyDescent="0.2">
      <c r="C96"/>
      <c r="D96"/>
      <c r="E96"/>
      <c r="F96"/>
      <c r="G96"/>
      <c r="H96"/>
      <c r="I96"/>
      <c r="J96"/>
      <c r="K96"/>
    </row>
    <row r="97" spans="3:11" x14ac:dyDescent="0.2">
      <c r="C97"/>
      <c r="D97"/>
      <c r="E97"/>
      <c r="F97"/>
      <c r="G97"/>
      <c r="H97"/>
      <c r="I97"/>
      <c r="J97"/>
      <c r="K97"/>
    </row>
    <row r="98" spans="3:11" x14ac:dyDescent="0.2">
      <c r="C98"/>
      <c r="D98"/>
      <c r="E98"/>
      <c r="F98"/>
      <c r="G98"/>
      <c r="H98"/>
      <c r="I98"/>
      <c r="J98"/>
      <c r="K98"/>
    </row>
    <row r="99" spans="3:11" x14ac:dyDescent="0.2">
      <c r="C99"/>
      <c r="D99"/>
      <c r="E99"/>
      <c r="F99"/>
      <c r="G99"/>
      <c r="H99"/>
      <c r="I99"/>
      <c r="J99"/>
      <c r="K99"/>
    </row>
    <row r="100" spans="3:11" x14ac:dyDescent="0.2">
      <c r="C100"/>
      <c r="D100"/>
      <c r="E100"/>
      <c r="F100"/>
      <c r="G100"/>
      <c r="H100"/>
      <c r="I100"/>
      <c r="J100"/>
      <c r="K100"/>
    </row>
    <row r="101" spans="3:11" x14ac:dyDescent="0.2">
      <c r="C101"/>
      <c r="D101"/>
      <c r="E101"/>
      <c r="F101"/>
      <c r="G101"/>
      <c r="H101"/>
      <c r="I101"/>
      <c r="J101"/>
      <c r="K101"/>
    </row>
    <row r="102" spans="3:11" x14ac:dyDescent="0.2">
      <c r="C102"/>
      <c r="D102"/>
      <c r="E102"/>
      <c r="F102"/>
      <c r="G102"/>
      <c r="H102"/>
      <c r="I102"/>
      <c r="J102"/>
      <c r="K102"/>
    </row>
    <row r="103" spans="3:11" x14ac:dyDescent="0.2">
      <c r="C103"/>
      <c r="D103"/>
      <c r="E103"/>
      <c r="F103"/>
      <c r="G103"/>
      <c r="H103"/>
      <c r="I103"/>
      <c r="J103"/>
      <c r="K103"/>
    </row>
    <row r="104" spans="3:11" x14ac:dyDescent="0.2">
      <c r="C104"/>
      <c r="D104"/>
      <c r="E104"/>
      <c r="F104"/>
      <c r="G104"/>
      <c r="H104"/>
      <c r="I104"/>
      <c r="J104"/>
      <c r="K104"/>
    </row>
    <row r="105" spans="3:11" x14ac:dyDescent="0.2">
      <c r="C105"/>
      <c r="D105"/>
      <c r="E105"/>
      <c r="F105"/>
      <c r="G105"/>
      <c r="H105"/>
      <c r="I105"/>
      <c r="J105"/>
      <c r="K105"/>
    </row>
    <row r="106" spans="3:11" x14ac:dyDescent="0.2">
      <c r="C106"/>
      <c r="D106"/>
      <c r="E106"/>
      <c r="F106"/>
      <c r="G106"/>
      <c r="H106"/>
      <c r="I106"/>
      <c r="J106"/>
      <c r="K106"/>
    </row>
    <row r="107" spans="3:11" x14ac:dyDescent="0.2">
      <c r="C107"/>
      <c r="D107"/>
      <c r="E107"/>
      <c r="F107"/>
      <c r="G107"/>
      <c r="H107"/>
      <c r="I107"/>
      <c r="J107"/>
      <c r="K107"/>
    </row>
    <row r="108" spans="3:11" x14ac:dyDescent="0.2">
      <c r="C108"/>
      <c r="D108"/>
      <c r="E108"/>
      <c r="F108"/>
      <c r="G108"/>
      <c r="H108"/>
      <c r="I108"/>
      <c r="J108"/>
      <c r="K108"/>
    </row>
    <row r="109" spans="3:11" x14ac:dyDescent="0.2">
      <c r="C109"/>
      <c r="D109"/>
      <c r="E109"/>
      <c r="F109"/>
      <c r="G109"/>
      <c r="H109"/>
      <c r="I109"/>
      <c r="J109"/>
      <c r="K109"/>
    </row>
    <row r="110" spans="3:11" x14ac:dyDescent="0.2">
      <c r="C110"/>
      <c r="D110"/>
      <c r="E110"/>
      <c r="F110"/>
      <c r="G110"/>
      <c r="H110"/>
      <c r="I110"/>
      <c r="J110"/>
      <c r="K110"/>
    </row>
    <row r="111" spans="3:11" x14ac:dyDescent="0.2">
      <c r="C111"/>
      <c r="D111"/>
      <c r="E111"/>
      <c r="F111"/>
      <c r="G111"/>
      <c r="H111"/>
      <c r="I111"/>
      <c r="J111"/>
      <c r="K111"/>
    </row>
    <row r="112" spans="3:11" x14ac:dyDescent="0.2">
      <c r="C112"/>
      <c r="D112"/>
      <c r="E112"/>
      <c r="F112"/>
      <c r="G112"/>
      <c r="H112"/>
      <c r="I112"/>
      <c r="J112"/>
      <c r="K112"/>
    </row>
    <row r="113" spans="3:11" x14ac:dyDescent="0.2">
      <c r="C113"/>
      <c r="D113"/>
      <c r="E113"/>
      <c r="F113"/>
      <c r="G113"/>
      <c r="H113"/>
      <c r="I113"/>
      <c r="J113"/>
      <c r="K113"/>
    </row>
    <row r="114" spans="3:11" x14ac:dyDescent="0.2">
      <c r="C114"/>
      <c r="D114"/>
      <c r="E114"/>
      <c r="F114"/>
      <c r="G114"/>
      <c r="H114"/>
      <c r="I114"/>
      <c r="J114"/>
      <c r="K114"/>
    </row>
    <row r="115" spans="3:11" x14ac:dyDescent="0.2">
      <c r="C115"/>
      <c r="D115"/>
      <c r="E115"/>
      <c r="F115"/>
      <c r="G115"/>
      <c r="H115"/>
      <c r="I115"/>
      <c r="J115"/>
      <c r="K115"/>
    </row>
    <row r="116" spans="3:11" x14ac:dyDescent="0.2">
      <c r="C116"/>
      <c r="D116"/>
      <c r="E116"/>
      <c r="F116"/>
      <c r="G116"/>
      <c r="H116"/>
      <c r="I116"/>
      <c r="J116"/>
      <c r="K116"/>
    </row>
    <row r="117" spans="3:11" x14ac:dyDescent="0.2">
      <c r="C117"/>
      <c r="D117"/>
      <c r="E117"/>
      <c r="F117"/>
      <c r="G117"/>
      <c r="H117"/>
      <c r="I117"/>
      <c r="J117"/>
      <c r="K117"/>
    </row>
    <row r="118" spans="3:11" x14ac:dyDescent="0.2">
      <c r="C118"/>
      <c r="D118"/>
      <c r="E118"/>
      <c r="F118"/>
      <c r="G118"/>
      <c r="H118"/>
      <c r="I118"/>
      <c r="J118"/>
      <c r="K118"/>
    </row>
    <row r="119" spans="3:11" x14ac:dyDescent="0.2">
      <c r="C119"/>
      <c r="D119"/>
      <c r="E119"/>
      <c r="F119"/>
      <c r="G119"/>
      <c r="H119"/>
      <c r="I119"/>
      <c r="J119"/>
      <c r="K119"/>
    </row>
    <row r="120" spans="3:11" x14ac:dyDescent="0.2">
      <c r="C120"/>
      <c r="D120"/>
      <c r="E120"/>
      <c r="F120"/>
      <c r="G120"/>
      <c r="H120"/>
      <c r="I120"/>
      <c r="J120"/>
      <c r="K120"/>
    </row>
    <row r="121" spans="3:11" x14ac:dyDescent="0.2">
      <c r="C121"/>
      <c r="D121"/>
      <c r="E121"/>
      <c r="F121"/>
      <c r="G121"/>
      <c r="H121"/>
      <c r="I121"/>
      <c r="J121"/>
      <c r="K121"/>
    </row>
    <row r="122" spans="3:11" x14ac:dyDescent="0.2">
      <c r="C122"/>
      <c r="D122"/>
      <c r="E122"/>
      <c r="F122"/>
      <c r="G122"/>
      <c r="H122"/>
      <c r="I122"/>
      <c r="J122"/>
      <c r="K122"/>
    </row>
    <row r="123" spans="3:11" x14ac:dyDescent="0.2">
      <c r="C123"/>
      <c r="D123"/>
      <c r="E123"/>
      <c r="F123"/>
      <c r="G123"/>
      <c r="H123"/>
      <c r="I123"/>
      <c r="J123"/>
      <c r="K123"/>
    </row>
    <row r="124" spans="3:11" x14ac:dyDescent="0.2">
      <c r="C124"/>
      <c r="D124"/>
      <c r="E124"/>
      <c r="F124"/>
      <c r="G124"/>
      <c r="H124"/>
      <c r="I124"/>
      <c r="J124"/>
      <c r="K124"/>
    </row>
    <row r="125" spans="3:11" x14ac:dyDescent="0.2">
      <c r="C125"/>
      <c r="D125"/>
      <c r="E125"/>
      <c r="F125"/>
      <c r="G125"/>
      <c r="H125"/>
      <c r="I125"/>
      <c r="J125"/>
      <c r="K125"/>
    </row>
    <row r="126" spans="3:11" x14ac:dyDescent="0.2">
      <c r="C126"/>
      <c r="D126"/>
      <c r="E126"/>
      <c r="F126"/>
      <c r="G126"/>
      <c r="H126"/>
      <c r="I126"/>
      <c r="J126"/>
      <c r="K126"/>
    </row>
    <row r="127" spans="3:11" x14ac:dyDescent="0.2">
      <c r="C127"/>
      <c r="D127"/>
      <c r="E127"/>
      <c r="F127"/>
      <c r="G127"/>
      <c r="H127"/>
      <c r="I127"/>
      <c r="J127"/>
      <c r="K127"/>
    </row>
    <row r="128" spans="3:11" x14ac:dyDescent="0.2">
      <c r="C128"/>
      <c r="D128"/>
      <c r="E128"/>
      <c r="F128"/>
      <c r="G128"/>
      <c r="H128"/>
      <c r="I128"/>
      <c r="J128"/>
      <c r="K128"/>
    </row>
    <row r="129" spans="3:11" x14ac:dyDescent="0.2">
      <c r="C129"/>
      <c r="D129"/>
      <c r="E129"/>
      <c r="F129"/>
      <c r="G129"/>
      <c r="H129"/>
      <c r="I129"/>
      <c r="J129"/>
      <c r="K129"/>
    </row>
    <row r="130" spans="3:11" x14ac:dyDescent="0.2">
      <c r="C130"/>
      <c r="D130"/>
      <c r="E130"/>
      <c r="F130"/>
      <c r="G130"/>
      <c r="H130"/>
      <c r="I130"/>
      <c r="J130"/>
      <c r="K130"/>
    </row>
    <row r="131" spans="3:11" x14ac:dyDescent="0.2">
      <c r="C131"/>
      <c r="D131"/>
      <c r="E131"/>
      <c r="F131"/>
      <c r="G131"/>
      <c r="H131"/>
      <c r="I131"/>
      <c r="J131"/>
      <c r="K131"/>
    </row>
    <row r="132" spans="3:11" x14ac:dyDescent="0.2">
      <c r="C132"/>
      <c r="D132"/>
      <c r="E132"/>
      <c r="F132"/>
      <c r="G132"/>
      <c r="H132"/>
      <c r="I132"/>
      <c r="J132"/>
      <c r="K132"/>
    </row>
    <row r="133" spans="3:11" x14ac:dyDescent="0.2">
      <c r="C133"/>
      <c r="D133"/>
      <c r="E133"/>
      <c r="F133"/>
      <c r="G133"/>
      <c r="H133"/>
      <c r="I133"/>
      <c r="J133"/>
      <c r="K133"/>
    </row>
    <row r="134" spans="3:11" x14ac:dyDescent="0.2">
      <c r="C134"/>
      <c r="D134"/>
      <c r="E134"/>
      <c r="F134"/>
      <c r="G134"/>
      <c r="H134"/>
      <c r="I134"/>
      <c r="J134"/>
      <c r="K134"/>
    </row>
    <row r="135" spans="3:11" x14ac:dyDescent="0.2">
      <c r="C135"/>
      <c r="D135"/>
      <c r="E135"/>
      <c r="F135"/>
      <c r="G135"/>
      <c r="H135"/>
      <c r="I135"/>
      <c r="J135"/>
      <c r="K135"/>
    </row>
    <row r="136" spans="3:11" x14ac:dyDescent="0.2">
      <c r="C136"/>
      <c r="D136"/>
      <c r="E136"/>
      <c r="F136"/>
      <c r="G136"/>
      <c r="H136"/>
      <c r="I136"/>
      <c r="J136"/>
      <c r="K136"/>
    </row>
    <row r="137" spans="3:11" x14ac:dyDescent="0.2">
      <c r="C137"/>
      <c r="D137"/>
      <c r="E137"/>
      <c r="F137"/>
      <c r="G137"/>
      <c r="H137"/>
      <c r="I137"/>
      <c r="J137"/>
      <c r="K137"/>
    </row>
    <row r="138" spans="3:11" x14ac:dyDescent="0.2">
      <c r="C138"/>
      <c r="D138"/>
      <c r="E138"/>
      <c r="F138"/>
      <c r="G138"/>
      <c r="H138"/>
      <c r="I138"/>
      <c r="J138"/>
      <c r="K138"/>
    </row>
    <row r="139" spans="3:11" x14ac:dyDescent="0.2">
      <c r="C139"/>
      <c r="D139"/>
      <c r="E139"/>
      <c r="F139"/>
      <c r="G139"/>
      <c r="H139"/>
      <c r="I139"/>
      <c r="J139"/>
      <c r="K139"/>
    </row>
    <row r="140" spans="3:11" x14ac:dyDescent="0.2">
      <c r="C140"/>
      <c r="D140"/>
      <c r="E140"/>
      <c r="F140"/>
      <c r="G140"/>
      <c r="H140"/>
      <c r="I140"/>
      <c r="J140"/>
      <c r="K140"/>
    </row>
    <row r="141" spans="3:11" x14ac:dyDescent="0.2">
      <c r="C141"/>
      <c r="D141"/>
      <c r="E141"/>
      <c r="F141"/>
      <c r="G141"/>
      <c r="H141"/>
      <c r="I141"/>
      <c r="J141"/>
      <c r="K141"/>
    </row>
    <row r="142" spans="3:11" x14ac:dyDescent="0.2">
      <c r="C142"/>
      <c r="D142"/>
      <c r="E142"/>
      <c r="F142"/>
      <c r="G142"/>
      <c r="H142"/>
      <c r="I142"/>
      <c r="J142"/>
      <c r="K142"/>
    </row>
    <row r="143" spans="3:11" x14ac:dyDescent="0.2">
      <c r="C143"/>
      <c r="D143"/>
      <c r="E143"/>
      <c r="F143"/>
      <c r="G143"/>
      <c r="H143"/>
      <c r="I143"/>
      <c r="J143"/>
      <c r="K143"/>
    </row>
    <row r="144" spans="3:11" x14ac:dyDescent="0.2">
      <c r="C144"/>
      <c r="D144"/>
      <c r="E144"/>
      <c r="F144"/>
      <c r="G144"/>
      <c r="H144"/>
      <c r="I144"/>
      <c r="J144"/>
      <c r="K144"/>
    </row>
    <row r="145" spans="3:11" x14ac:dyDescent="0.2">
      <c r="C145"/>
      <c r="D145"/>
      <c r="E145"/>
      <c r="F145"/>
      <c r="G145"/>
      <c r="H145"/>
      <c r="I145"/>
      <c r="J145"/>
      <c r="K145"/>
    </row>
    <row r="146" spans="3:11" x14ac:dyDescent="0.2">
      <c r="C146"/>
      <c r="D146"/>
      <c r="E146"/>
      <c r="F146"/>
      <c r="G146"/>
      <c r="H146"/>
      <c r="I146"/>
      <c r="J146"/>
      <c r="K146"/>
    </row>
    <row r="147" spans="3:11" x14ac:dyDescent="0.2">
      <c r="C147"/>
      <c r="D147"/>
      <c r="E147"/>
      <c r="F147"/>
      <c r="G147"/>
      <c r="H147"/>
      <c r="I147"/>
      <c r="J147"/>
      <c r="K147"/>
    </row>
    <row r="148" spans="3:11" x14ac:dyDescent="0.2">
      <c r="C148"/>
      <c r="D148"/>
      <c r="E148"/>
      <c r="F148"/>
      <c r="G148"/>
      <c r="H148"/>
      <c r="I148"/>
      <c r="J148"/>
      <c r="K148"/>
    </row>
    <row r="149" spans="3:11" x14ac:dyDescent="0.2">
      <c r="C149"/>
      <c r="D149"/>
      <c r="E149"/>
      <c r="F149"/>
      <c r="G149"/>
      <c r="H149"/>
      <c r="I149"/>
      <c r="J149"/>
      <c r="K149"/>
    </row>
    <row r="150" spans="3:11" x14ac:dyDescent="0.2">
      <c r="C150"/>
      <c r="D150"/>
      <c r="E150"/>
      <c r="F150"/>
      <c r="G150"/>
      <c r="H150"/>
      <c r="I150"/>
      <c r="J150"/>
      <c r="K150"/>
    </row>
    <row r="151" spans="3:11" x14ac:dyDescent="0.2">
      <c r="C151"/>
      <c r="D151"/>
      <c r="E151"/>
      <c r="F151"/>
      <c r="G151"/>
      <c r="H151"/>
      <c r="I151"/>
      <c r="J151"/>
      <c r="K151"/>
    </row>
    <row r="152" spans="3:11" x14ac:dyDescent="0.2">
      <c r="C152"/>
      <c r="D152"/>
      <c r="E152"/>
      <c r="F152"/>
      <c r="G152"/>
      <c r="H152"/>
      <c r="I152"/>
      <c r="J152"/>
      <c r="K152"/>
    </row>
    <row r="153" spans="3:11" x14ac:dyDescent="0.2">
      <c r="C153"/>
      <c r="D153"/>
      <c r="E153"/>
      <c r="F153"/>
      <c r="G153"/>
      <c r="H153"/>
      <c r="I153"/>
      <c r="J153"/>
      <c r="K153"/>
    </row>
    <row r="154" spans="3:11" x14ac:dyDescent="0.2">
      <c r="C154"/>
      <c r="D154"/>
      <c r="E154"/>
      <c r="F154"/>
      <c r="G154"/>
      <c r="H154"/>
      <c r="I154"/>
      <c r="J154"/>
      <c r="K154"/>
    </row>
    <row r="155" spans="3:11" x14ac:dyDescent="0.2">
      <c r="C155"/>
      <c r="D155"/>
      <c r="E155"/>
      <c r="F155"/>
      <c r="G155"/>
      <c r="H155"/>
      <c r="I155"/>
      <c r="J155"/>
      <c r="K155"/>
    </row>
    <row r="156" spans="3:11" x14ac:dyDescent="0.2">
      <c r="C156"/>
      <c r="D156"/>
      <c r="E156"/>
      <c r="F156"/>
      <c r="G156"/>
      <c r="H156"/>
      <c r="I156"/>
      <c r="J156"/>
      <c r="K156"/>
    </row>
    <row r="157" spans="3:11" x14ac:dyDescent="0.2">
      <c r="C157"/>
      <c r="D157"/>
      <c r="E157"/>
      <c r="F157"/>
      <c r="G157"/>
      <c r="H157"/>
      <c r="I157"/>
      <c r="J157"/>
      <c r="K157"/>
    </row>
    <row r="158" spans="3:11" x14ac:dyDescent="0.2">
      <c r="C158"/>
      <c r="D158"/>
      <c r="E158"/>
      <c r="F158"/>
      <c r="G158"/>
      <c r="H158"/>
      <c r="I158"/>
      <c r="J158"/>
      <c r="K158"/>
    </row>
    <row r="159" spans="3:11" x14ac:dyDescent="0.2">
      <c r="C159"/>
      <c r="D159"/>
      <c r="E159"/>
      <c r="F159"/>
      <c r="G159"/>
      <c r="H159"/>
      <c r="I159"/>
      <c r="J159"/>
      <c r="K159"/>
    </row>
    <row r="160" spans="3:11" x14ac:dyDescent="0.2">
      <c r="C160"/>
      <c r="D160"/>
      <c r="E160"/>
      <c r="F160"/>
      <c r="G160"/>
      <c r="H160"/>
      <c r="I160"/>
      <c r="J160"/>
      <c r="K160"/>
    </row>
    <row r="161" spans="3:11" x14ac:dyDescent="0.2">
      <c r="C161"/>
      <c r="D161"/>
      <c r="E161"/>
      <c r="F161"/>
      <c r="G161"/>
      <c r="H161"/>
      <c r="I161"/>
      <c r="J161"/>
      <c r="K161"/>
    </row>
    <row r="162" spans="3:11" x14ac:dyDescent="0.2">
      <c r="C162"/>
      <c r="D162"/>
      <c r="E162"/>
      <c r="F162"/>
      <c r="G162"/>
      <c r="H162"/>
      <c r="I162"/>
      <c r="J162"/>
      <c r="K162"/>
    </row>
    <row r="163" spans="3:11" x14ac:dyDescent="0.2">
      <c r="C163"/>
      <c r="D163"/>
      <c r="E163"/>
      <c r="F163"/>
      <c r="G163"/>
      <c r="H163"/>
      <c r="I163"/>
      <c r="J163"/>
      <c r="K163"/>
    </row>
    <row r="164" spans="3:11" x14ac:dyDescent="0.2">
      <c r="C164"/>
      <c r="D164"/>
      <c r="E164"/>
      <c r="F164"/>
      <c r="G164"/>
      <c r="H164"/>
      <c r="I164"/>
      <c r="J164"/>
      <c r="K164"/>
    </row>
    <row r="165" spans="3:11" x14ac:dyDescent="0.2">
      <c r="C165"/>
      <c r="D165"/>
      <c r="E165"/>
      <c r="F165"/>
      <c r="G165"/>
      <c r="H165"/>
      <c r="I165"/>
      <c r="J165"/>
      <c r="K165"/>
    </row>
    <row r="166" spans="3:11" x14ac:dyDescent="0.2">
      <c r="C166"/>
      <c r="D166"/>
      <c r="E166"/>
      <c r="F166"/>
      <c r="G166"/>
      <c r="H166"/>
      <c r="I166"/>
      <c r="J166"/>
      <c r="K166"/>
    </row>
    <row r="167" spans="3:11" x14ac:dyDescent="0.2">
      <c r="C167"/>
      <c r="D167"/>
      <c r="E167"/>
      <c r="F167"/>
      <c r="G167"/>
      <c r="H167"/>
      <c r="I167"/>
      <c r="J167"/>
      <c r="K167"/>
    </row>
    <row r="168" spans="3:11" x14ac:dyDescent="0.2">
      <c r="C168"/>
      <c r="D168"/>
      <c r="E168"/>
      <c r="F168"/>
      <c r="G168"/>
      <c r="H168"/>
      <c r="I168"/>
      <c r="J168"/>
      <c r="K168"/>
    </row>
    <row r="169" spans="3:11" x14ac:dyDescent="0.2">
      <c r="C169"/>
      <c r="D169"/>
      <c r="E169"/>
      <c r="F169"/>
      <c r="G169"/>
      <c r="H169"/>
      <c r="I169"/>
      <c r="J169"/>
      <c r="K169"/>
    </row>
    <row r="170" spans="3:11" x14ac:dyDescent="0.2">
      <c r="C170"/>
      <c r="D170"/>
      <c r="E170"/>
      <c r="F170"/>
      <c r="G170"/>
      <c r="H170"/>
      <c r="I170"/>
      <c r="J170"/>
      <c r="K170"/>
    </row>
    <row r="171" spans="3:11" x14ac:dyDescent="0.2">
      <c r="C171"/>
      <c r="D171"/>
      <c r="E171"/>
      <c r="F171"/>
      <c r="G171"/>
      <c r="H171"/>
      <c r="I171"/>
      <c r="J171"/>
      <c r="K171"/>
    </row>
    <row r="172" spans="3:11" x14ac:dyDescent="0.2">
      <c r="C172"/>
      <c r="D172"/>
      <c r="E172"/>
      <c r="F172"/>
      <c r="G172"/>
      <c r="H172"/>
      <c r="I172"/>
      <c r="J172"/>
      <c r="K172"/>
    </row>
    <row r="173" spans="3:11" x14ac:dyDescent="0.2">
      <c r="C173"/>
      <c r="D173"/>
      <c r="E173"/>
      <c r="F173"/>
      <c r="G173"/>
      <c r="H173"/>
      <c r="I173"/>
      <c r="J173"/>
      <c r="K173"/>
    </row>
    <row r="174" spans="3:11" x14ac:dyDescent="0.2">
      <c r="C174"/>
      <c r="D174"/>
      <c r="E174"/>
      <c r="F174"/>
      <c r="G174"/>
      <c r="H174"/>
      <c r="I174"/>
      <c r="J174"/>
      <c r="K174"/>
    </row>
    <row r="175" spans="3:11" x14ac:dyDescent="0.2">
      <c r="C175"/>
      <c r="D175"/>
      <c r="E175"/>
      <c r="F175"/>
      <c r="G175"/>
      <c r="H175"/>
      <c r="I175"/>
      <c r="J175"/>
      <c r="K175"/>
    </row>
    <row r="176" spans="3:11" x14ac:dyDescent="0.2">
      <c r="C176"/>
      <c r="D176"/>
      <c r="E176"/>
      <c r="F176"/>
      <c r="G176"/>
      <c r="H176"/>
      <c r="I176"/>
      <c r="J176"/>
      <c r="K176"/>
    </row>
    <row r="177" spans="3:11" x14ac:dyDescent="0.2">
      <c r="C177"/>
      <c r="D177"/>
      <c r="E177"/>
      <c r="F177"/>
      <c r="G177"/>
      <c r="H177"/>
      <c r="I177"/>
      <c r="J177"/>
      <c r="K177"/>
    </row>
    <row r="178" spans="3:11" x14ac:dyDescent="0.2">
      <c r="C178"/>
      <c r="D178"/>
      <c r="E178"/>
      <c r="F178"/>
      <c r="G178"/>
      <c r="H178"/>
      <c r="I178"/>
      <c r="J178"/>
      <c r="K178"/>
    </row>
    <row r="179" spans="3:11" x14ac:dyDescent="0.2">
      <c r="C179"/>
      <c r="D179"/>
      <c r="E179"/>
      <c r="F179"/>
      <c r="G179"/>
      <c r="H179"/>
      <c r="I179"/>
      <c r="J179"/>
      <c r="K179"/>
    </row>
    <row r="180" spans="3:11" x14ac:dyDescent="0.2">
      <c r="C180"/>
      <c r="D180"/>
      <c r="E180"/>
      <c r="F180"/>
      <c r="G180"/>
      <c r="H180"/>
      <c r="I180"/>
      <c r="J180"/>
      <c r="K180"/>
    </row>
    <row r="181" spans="3:11" x14ac:dyDescent="0.2">
      <c r="C181"/>
      <c r="D181"/>
      <c r="E181"/>
      <c r="F181"/>
      <c r="G181"/>
      <c r="H181"/>
      <c r="I181"/>
      <c r="J181"/>
      <c r="K181"/>
    </row>
    <row r="182" spans="3:11" x14ac:dyDescent="0.2">
      <c r="C182"/>
      <c r="D182"/>
      <c r="E182"/>
      <c r="F182"/>
      <c r="G182"/>
      <c r="H182"/>
      <c r="I182"/>
      <c r="J182"/>
      <c r="K182"/>
    </row>
    <row r="183" spans="3:11" x14ac:dyDescent="0.2">
      <c r="C183"/>
      <c r="D183"/>
      <c r="E183"/>
      <c r="F183"/>
      <c r="G183"/>
      <c r="H183"/>
      <c r="I183"/>
      <c r="J183"/>
      <c r="K183"/>
    </row>
    <row r="184" spans="3:11" x14ac:dyDescent="0.2">
      <c r="C184"/>
      <c r="D184"/>
      <c r="E184"/>
      <c r="F184"/>
      <c r="G184"/>
      <c r="H184"/>
      <c r="I184"/>
      <c r="J184"/>
      <c r="K184"/>
    </row>
    <row r="185" spans="3:11" x14ac:dyDescent="0.2">
      <c r="C185"/>
      <c r="D185"/>
      <c r="E185"/>
      <c r="F185"/>
      <c r="G185"/>
      <c r="H185"/>
      <c r="I185"/>
      <c r="J185"/>
      <c r="K185"/>
    </row>
    <row r="186" spans="3:11" x14ac:dyDescent="0.2">
      <c r="C186"/>
      <c r="D186"/>
      <c r="E186"/>
      <c r="F186"/>
      <c r="G186"/>
      <c r="H186"/>
      <c r="I186"/>
      <c r="J186"/>
      <c r="K186"/>
    </row>
    <row r="187" spans="3:11" x14ac:dyDescent="0.2">
      <c r="C187"/>
      <c r="D187"/>
      <c r="E187"/>
      <c r="F187"/>
      <c r="G187"/>
      <c r="H187"/>
      <c r="I187"/>
      <c r="J187"/>
      <c r="K187"/>
    </row>
    <row r="188" spans="3:11" x14ac:dyDescent="0.2">
      <c r="C188"/>
      <c r="D188"/>
      <c r="E188"/>
      <c r="F188"/>
      <c r="G188"/>
      <c r="H188"/>
      <c r="I188"/>
      <c r="J188"/>
      <c r="K188"/>
    </row>
    <row r="189" spans="3:11" x14ac:dyDescent="0.2">
      <c r="C189"/>
      <c r="D189"/>
      <c r="E189"/>
      <c r="F189"/>
      <c r="G189"/>
      <c r="H189"/>
      <c r="I189"/>
      <c r="J189"/>
      <c r="K189"/>
    </row>
    <row r="190" spans="3:11" x14ac:dyDescent="0.2">
      <c r="C190"/>
      <c r="D190"/>
      <c r="E190"/>
      <c r="F190"/>
      <c r="G190"/>
      <c r="H190"/>
      <c r="I190"/>
      <c r="J190"/>
      <c r="K190"/>
    </row>
    <row r="191" spans="3:11" x14ac:dyDescent="0.2">
      <c r="C191"/>
      <c r="D191"/>
      <c r="E191"/>
      <c r="F191"/>
      <c r="G191"/>
      <c r="H191"/>
      <c r="I191"/>
      <c r="J191"/>
      <c r="K191"/>
    </row>
    <row r="192" spans="3:11" x14ac:dyDescent="0.2">
      <c r="C192"/>
      <c r="D192"/>
      <c r="E192"/>
      <c r="F192"/>
      <c r="G192"/>
      <c r="H192"/>
      <c r="I192"/>
      <c r="J192"/>
      <c r="K192"/>
    </row>
    <row r="193" spans="3:11" x14ac:dyDescent="0.2">
      <c r="C193"/>
      <c r="D193"/>
      <c r="E193"/>
      <c r="F193"/>
      <c r="G193"/>
      <c r="H193"/>
      <c r="I193"/>
      <c r="J193"/>
      <c r="K193"/>
    </row>
    <row r="194" spans="3:11" x14ac:dyDescent="0.2">
      <c r="C194"/>
      <c r="D194"/>
      <c r="E194"/>
      <c r="F194"/>
      <c r="G194"/>
      <c r="H194"/>
      <c r="I194"/>
      <c r="J194"/>
      <c r="K194"/>
    </row>
    <row r="195" spans="3:11" x14ac:dyDescent="0.2">
      <c r="C195"/>
      <c r="D195"/>
      <c r="E195"/>
      <c r="F195"/>
      <c r="G195"/>
      <c r="H195"/>
      <c r="I195"/>
      <c r="J195"/>
      <c r="K19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2022-02-03T01:57:08Z</dcterms:modified>
  <cp:category/>
  <cp:contentStatus/>
</cp:coreProperties>
</file>